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6DC4B3B1-EC22-4714-8A95-FED78C4F1680}" xr6:coauthVersionLast="47" xr6:coauthVersionMax="47" xr10:uidLastSave="{00000000-0000-0000-0000-000000000000}"/>
  <bookViews>
    <workbookView xWindow="-108" yWindow="-108" windowWidth="23256" windowHeight="12456" tabRatio="945" activeTab="6" xr2:uid="{2AB0BC00-CFDF-46F9-9864-D6F363F2B206}"/>
  </bookViews>
  <sheets>
    <sheet name="customer" sheetId="1" r:id="rId1"/>
    <sheet name="order" sheetId="2" r:id="rId2"/>
    <sheet name="product" sheetId="3" r:id="rId3"/>
    <sheet name="sales" sheetId="4" r:id="rId4"/>
    <sheet name="ANALSYSIS" sheetId="11" r:id="rId5"/>
    <sheet name="master data" sheetId="5" r:id="rId6"/>
    <sheet name="DASHBOARD" sheetId="6" r:id="rId7"/>
  </sheets>
  <definedNames>
    <definedName name="_xlcn.WorksheetConnection_superstoresales.xlsxTable11" hidden="1">Table1[]</definedName>
    <definedName name="Slicer_Category">#N/A</definedName>
    <definedName name="Slicer_Region">#N/A</definedName>
    <definedName name="Slicer_Segment1">#N/A</definedName>
    <definedName name="Slicer_Ship_Mode1">#N/A</definedName>
  </definedNames>
  <calcPr calcId="191029"/>
  <pivotCaches>
    <pivotCache cacheId="963" r:id="rId8"/>
    <pivotCache cacheId="964" r:id="rId9"/>
    <pivotCache cacheId="965" r:id="rId10"/>
    <pivotCache cacheId="966" r:id="rId11"/>
  </pivotCaches>
  <extLst>
    <ext xmlns:x14="http://schemas.microsoft.com/office/spreadsheetml/2009/9/main" uri="{876F7934-8845-4945-9796-88D515C7AA90}">
      <x14:pivotCaches>
        <pivotCache cacheId="96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uperstore sales.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T7" i="5" l="1"/>
  <c r="B25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312216-ED56-4EFB-8DEC-17B10F39F2C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0761EE-A333-4CB5-BFE6-52D0B8D079BE}" name="WorksheetConnection_superstore sales.xlsx!Table1" type="102" refreshedVersion="8" minRefreshableVersion="5">
    <extLst>
      <ext xmlns:x15="http://schemas.microsoft.com/office/spreadsheetml/2010/11/main" uri="{DE250136-89BD-433C-8126-D09CA5730AF9}">
        <x15:connection id="Table1" autoDelete="1">
          <x15:rangePr sourceName="_xlcn.WorksheetConnection_superstoresales.xlsxTable11"/>
        </x15:connection>
      </ext>
    </extLst>
  </connection>
</connections>
</file>

<file path=xl/sharedStrings.xml><?xml version="1.0" encoding="utf-8"?>
<sst xmlns="http://schemas.openxmlformats.org/spreadsheetml/2006/main" count="2404" uniqueCount="352">
  <si>
    <t>Customer ID</t>
  </si>
  <si>
    <t>Customer Name</t>
  </si>
  <si>
    <t>Segment</t>
  </si>
  <si>
    <t>Region</t>
  </si>
  <si>
    <t>State</t>
  </si>
  <si>
    <t>City</t>
  </si>
  <si>
    <t>Amit Sharma</t>
  </si>
  <si>
    <t>Consumer</t>
  </si>
  <si>
    <t>North</t>
  </si>
  <si>
    <t>Delhi</t>
  </si>
  <si>
    <t>Priya Singh</t>
  </si>
  <si>
    <t>Corporate</t>
  </si>
  <si>
    <t>West</t>
  </si>
  <si>
    <t>Maharashtra</t>
  </si>
  <si>
    <t>Mumbai</t>
  </si>
  <si>
    <t>Rahul Verma</t>
  </si>
  <si>
    <t>Home Office</t>
  </si>
  <si>
    <t>South</t>
  </si>
  <si>
    <t>Karnataka</t>
  </si>
  <si>
    <t>Bangalore</t>
  </si>
  <si>
    <t>Neha Gupta</t>
  </si>
  <si>
    <t>East</t>
  </si>
  <si>
    <t>West Bengal</t>
  </si>
  <si>
    <t>Kolkata</t>
  </si>
  <si>
    <t>Arjun Mehta</t>
  </si>
  <si>
    <t>Punjab</t>
  </si>
  <si>
    <t>Ludhiana</t>
  </si>
  <si>
    <t>Sneha Kapoor</t>
  </si>
  <si>
    <t>Gujarat</t>
  </si>
  <si>
    <t>Ahmedabad</t>
  </si>
  <si>
    <t>Karan Malhotra</t>
  </si>
  <si>
    <t>Telangana</t>
  </si>
  <si>
    <t>Hyderabad</t>
  </si>
  <si>
    <t>Pooja Nair</t>
  </si>
  <si>
    <t>Odisha</t>
  </si>
  <si>
    <t>Bhubaneswar</t>
  </si>
  <si>
    <t>Vikram Joshi</t>
  </si>
  <si>
    <t>Rajasthan</t>
  </si>
  <si>
    <t>Jaipur</t>
  </si>
  <si>
    <t>Riya Das</t>
  </si>
  <si>
    <t>Uttar Pradesh</t>
  </si>
  <si>
    <t>Lucknow</t>
  </si>
  <si>
    <t>Order ID</t>
  </si>
  <si>
    <t>Order Date</t>
  </si>
  <si>
    <t>Ship Date</t>
  </si>
  <si>
    <t>Ship Mode</t>
  </si>
  <si>
    <t>ORD001</t>
  </si>
  <si>
    <t>Standard Class</t>
  </si>
  <si>
    <t>ORD002</t>
  </si>
  <si>
    <t>Second Class</t>
  </si>
  <si>
    <t>ORD003</t>
  </si>
  <si>
    <t>ORD004</t>
  </si>
  <si>
    <t>First Class</t>
  </si>
  <si>
    <t>ORD005</t>
  </si>
  <si>
    <t>ORD006</t>
  </si>
  <si>
    <t>Same Day</t>
  </si>
  <si>
    <t>ORD007</t>
  </si>
  <si>
    <t>ORD008</t>
  </si>
  <si>
    <t>ORD009</t>
  </si>
  <si>
    <t>ORD010</t>
  </si>
  <si>
    <t>Product ID</t>
  </si>
  <si>
    <t>Category</t>
  </si>
  <si>
    <t>Sub-Category</t>
  </si>
  <si>
    <t>Product Name</t>
  </si>
  <si>
    <t>P001</t>
  </si>
  <si>
    <t>Furniture</t>
  </si>
  <si>
    <t>Chairs</t>
  </si>
  <si>
    <t>Office Chair</t>
  </si>
  <si>
    <t>P002</t>
  </si>
  <si>
    <t>Technology</t>
  </si>
  <si>
    <t>Laptops</t>
  </si>
  <si>
    <t>Dell Laptop</t>
  </si>
  <si>
    <t>P003</t>
  </si>
  <si>
    <t>Office Supplies</t>
  </si>
  <si>
    <t>Binders</t>
  </si>
  <si>
    <t>Ring Binder</t>
  </si>
  <si>
    <t>P004</t>
  </si>
  <si>
    <t>Tables</t>
  </si>
  <si>
    <t>Study Table</t>
  </si>
  <si>
    <t>P005</t>
  </si>
  <si>
    <t>Phones</t>
  </si>
  <si>
    <t>Samsung Galaxy</t>
  </si>
  <si>
    <t>P006</t>
  </si>
  <si>
    <t>Paper</t>
  </si>
  <si>
    <t>A4 Paper Pack</t>
  </si>
  <si>
    <t>P007</t>
  </si>
  <si>
    <t>Accessories</t>
  </si>
  <si>
    <t>Wireless Mouse</t>
  </si>
  <si>
    <t>P008</t>
  </si>
  <si>
    <t>Bookcases</t>
  </si>
  <si>
    <t>Wooden Bookcase</t>
  </si>
  <si>
    <t>P009</t>
  </si>
  <si>
    <t>Storage</t>
  </si>
  <si>
    <t>Storage Box</t>
  </si>
  <si>
    <t>P010</t>
  </si>
  <si>
    <t>Printers</t>
  </si>
  <si>
    <t>HP Printer</t>
  </si>
  <si>
    <t>Sales</t>
  </si>
  <si>
    <t>Quantity</t>
  </si>
  <si>
    <t>Discount</t>
  </si>
  <si>
    <t>Profit</t>
  </si>
  <si>
    <t>Rahul Singh</t>
  </si>
  <si>
    <t>A4 Paper</t>
  </si>
  <si>
    <t>Simran Verma</t>
  </si>
  <si>
    <t>Priya Gupta</t>
  </si>
  <si>
    <t>Sneha Gupta</t>
  </si>
  <si>
    <t>Simran Sharma</t>
  </si>
  <si>
    <t>Priya Verma</t>
  </si>
  <si>
    <t>Arjun Singh</t>
  </si>
  <si>
    <t>ORD011</t>
  </si>
  <si>
    <t>Karan Verma</t>
  </si>
  <si>
    <t>ORD012</t>
  </si>
  <si>
    <t>Arjun Sharma</t>
  </si>
  <si>
    <t>ORD013</t>
  </si>
  <si>
    <t>Amit Verma</t>
  </si>
  <si>
    <t>ORD014</t>
  </si>
  <si>
    <t>Ankit Singh</t>
  </si>
  <si>
    <t>ORD015</t>
  </si>
  <si>
    <t>Sneha Singh</t>
  </si>
  <si>
    <t>ORD016</t>
  </si>
  <si>
    <t>Karan Sharma</t>
  </si>
  <si>
    <t>ORD017</t>
  </si>
  <si>
    <t>Sneha Verma</t>
  </si>
  <si>
    <t>ORD018</t>
  </si>
  <si>
    <t>Simran Singh</t>
  </si>
  <si>
    <t>ORD019</t>
  </si>
  <si>
    <t>Karan Singh</t>
  </si>
  <si>
    <t>ORD020</t>
  </si>
  <si>
    <t>ORD021</t>
  </si>
  <si>
    <t>ORD022</t>
  </si>
  <si>
    <t>ORD023</t>
  </si>
  <si>
    <t>Neha Verma</t>
  </si>
  <si>
    <t>ORD024</t>
  </si>
  <si>
    <t>ORD025</t>
  </si>
  <si>
    <t>Riya Verma</t>
  </si>
  <si>
    <t>ORD026</t>
  </si>
  <si>
    <t>Karan Gupta</t>
  </si>
  <si>
    <t>ORD027</t>
  </si>
  <si>
    <t>Arjun Verma</t>
  </si>
  <si>
    <t>ORD028</t>
  </si>
  <si>
    <t>ORD029</t>
  </si>
  <si>
    <t>ORD030</t>
  </si>
  <si>
    <t>Vikram Sharma</t>
  </si>
  <si>
    <t>ORD031</t>
  </si>
  <si>
    <t>ORD032</t>
  </si>
  <si>
    <t>Rahul Sharma</t>
  </si>
  <si>
    <t>ORD033</t>
  </si>
  <si>
    <t>Pooja Verma</t>
  </si>
  <si>
    <t>ORD034</t>
  </si>
  <si>
    <t>ORD035</t>
  </si>
  <si>
    <t>ORD036</t>
  </si>
  <si>
    <t>Riya Singh</t>
  </si>
  <si>
    <t>ORD037</t>
  </si>
  <si>
    <t>Pooja Sharma</t>
  </si>
  <si>
    <t>ORD038</t>
  </si>
  <si>
    <t>ORD039</t>
  </si>
  <si>
    <t>ORD040</t>
  </si>
  <si>
    <t>Pooja Singh</t>
  </si>
  <si>
    <t>ORD041</t>
  </si>
  <si>
    <t>ORD042</t>
  </si>
  <si>
    <t>ORD043</t>
  </si>
  <si>
    <t>Amit Singh</t>
  </si>
  <si>
    <t>ORD044</t>
  </si>
  <si>
    <t>Riya Gupta</t>
  </si>
  <si>
    <t>ORD045</t>
  </si>
  <si>
    <t>Ankit Gupta</t>
  </si>
  <si>
    <t>ORD046</t>
  </si>
  <si>
    <t>ORD047</t>
  </si>
  <si>
    <t>ORD048</t>
  </si>
  <si>
    <t>ORD049</t>
  </si>
  <si>
    <t>ORD050</t>
  </si>
  <si>
    <t>ORD051</t>
  </si>
  <si>
    <t>ORD052</t>
  </si>
  <si>
    <t>ORD053</t>
  </si>
  <si>
    <t>ORD054</t>
  </si>
  <si>
    <t>ORD055</t>
  </si>
  <si>
    <t>ORD056</t>
  </si>
  <si>
    <t>Priya Sharma</t>
  </si>
  <si>
    <t>ORD057</t>
  </si>
  <si>
    <t>ORD058</t>
  </si>
  <si>
    <t>Vikram Gupta</t>
  </si>
  <si>
    <t>ORD059</t>
  </si>
  <si>
    <t>Arjun Gupta</t>
  </si>
  <si>
    <t>ORD060</t>
  </si>
  <si>
    <t>Riya Sharma</t>
  </si>
  <si>
    <t>ORD061</t>
  </si>
  <si>
    <t>ORD062</t>
  </si>
  <si>
    <t>ORD063</t>
  </si>
  <si>
    <t>ORD064</t>
  </si>
  <si>
    <t>ORD065</t>
  </si>
  <si>
    <t>Neha Sharma</t>
  </si>
  <si>
    <t>ORD066</t>
  </si>
  <si>
    <t>ORD067</t>
  </si>
  <si>
    <t>Ankit Sharma</t>
  </si>
  <si>
    <t>ORD068</t>
  </si>
  <si>
    <t>ORD069</t>
  </si>
  <si>
    <t>ORD070</t>
  </si>
  <si>
    <t>Rahul Gupta</t>
  </si>
  <si>
    <t>ORD071</t>
  </si>
  <si>
    <t>ORD072</t>
  </si>
  <si>
    <t>Pooja Gupta</t>
  </si>
  <si>
    <t>ORD073</t>
  </si>
  <si>
    <t>ORD074</t>
  </si>
  <si>
    <t>ORD075</t>
  </si>
  <si>
    <t>ORD076</t>
  </si>
  <si>
    <t>Simran Gupta</t>
  </si>
  <si>
    <t>ORD077</t>
  </si>
  <si>
    <t>ORD078</t>
  </si>
  <si>
    <t>ORD079</t>
  </si>
  <si>
    <t>ORD080</t>
  </si>
  <si>
    <t>ORD081</t>
  </si>
  <si>
    <t>ORD082</t>
  </si>
  <si>
    <t>ORD083</t>
  </si>
  <si>
    <t>ORD084</t>
  </si>
  <si>
    <t>Amit Gupta</t>
  </si>
  <si>
    <t>ORD085</t>
  </si>
  <si>
    <t>ORD086</t>
  </si>
  <si>
    <t>ORD087</t>
  </si>
  <si>
    <t>ORD088</t>
  </si>
  <si>
    <t>ORD089</t>
  </si>
  <si>
    <t>ORD090</t>
  </si>
  <si>
    <t>Sneha Sharma</t>
  </si>
  <si>
    <t>ORD091</t>
  </si>
  <si>
    <t>ORD092</t>
  </si>
  <si>
    <t>ORD093</t>
  </si>
  <si>
    <t>ORD094</t>
  </si>
  <si>
    <t>ORD095</t>
  </si>
  <si>
    <t>ORD096</t>
  </si>
  <si>
    <t>ORD097</t>
  </si>
  <si>
    <t>Vikram Verma</t>
  </si>
  <si>
    <t>ORD098</t>
  </si>
  <si>
    <t>Ankit Verma</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</si>
  <si>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</si>
  <si>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</si>
  <si>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</si>
  <si>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</si>
  <si>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</si>
  <si>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</si>
  <si>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</si>
  <si>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</si>
  <si>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</si>
  <si>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</si>
  <si>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</si>
  <si>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</si>
  <si>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</si>
  <si>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</si>
  <si>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</si>
  <si>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</si>
  <si>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</si>
  <si>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</si>
  <si>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</si>
  <si>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</si>
  <si>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</si>
  <si>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</si>
  <si>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</si>
  <si>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</si>
  <si>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</si>
  <si>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</si>
  <si>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</si>
  <si>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</si>
  <si>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</si>
  <si>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</si>
  <si>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</si>
  <si>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</si>
  <si>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</si>
  <si>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</si>
  <si>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</si>
  <si>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</si>
  <si>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</si>
  <si>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</si>
  <si>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</si>
  <si>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</si>
  <si>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</si>
  <si>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</si>
  <si>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</si>
  <si>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</si>
  <si>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</si>
  <si>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</si>
  <si>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</si>
  <si>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</si>
  <si>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</si>
  <si>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</si>
  <si>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</si>
  <si>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</si>
  <si>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</si>
  <si>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Vikram Singh</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</si>
  <si>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</si>
  <si>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</si>
  <si>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</si>
  <si>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</si>
  <si>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</si>
  <si>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</si>
  <si>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</si>
  <si>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</si>
  <si>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</si>
  <si>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</si>
  <si>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</si>
  <si>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</si>
  <si>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</si>
  <si>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</si>
  <si>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</si>
  <si>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</si>
  <si>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</si>
  <si>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</si>
  <si>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</si>
  <si>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</si>
  <si>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</si>
  <si>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</si>
  <si>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</si>
  <si>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</si>
  <si>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</si>
  <si>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</si>
  <si>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</si>
  <si>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</si>
  <si>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</si>
  <si>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</si>
  <si>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</si>
  <si>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</si>
  <si>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</si>
  <si>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</si>
  <si>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</si>
  <si>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</si>
  <si>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</si>
  <si>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</si>
  <si>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</si>
  <si>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</si>
  <si>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</si>
  <si>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</si>
  <si>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</si>
  <si>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</si>
  <si>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</si>
  <si>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</si>
  <si>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</si>
  <si>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</si>
  <si>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</si>
  <si>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Column1</t>
  </si>
  <si>
    <t>Column2</t>
  </si>
  <si>
    <t>Column3</t>
  </si>
  <si>
    <t>Column4</t>
  </si>
  <si>
    <t>SUPERSTORE SALES DASHBOARD</t>
  </si>
  <si>
    <t xml:space="preserve">                           SLICERS</t>
  </si>
  <si>
    <t>Row Labels</t>
  </si>
  <si>
    <t>Grand Total</t>
  </si>
  <si>
    <t xml:space="preserve">                                                                                               </t>
  </si>
  <si>
    <t>Sum of Sales</t>
  </si>
  <si>
    <t>Sum of Profit</t>
  </si>
  <si>
    <t>Jan</t>
  </si>
  <si>
    <t>Feb</t>
  </si>
  <si>
    <t>Mar</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</si>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</sst>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_ [$₹-4009]\ * #,##0.00_ ;_ [$₹-4009]\ * \-#,##0.00_ ;_ [$₹-4009]\ * &quot;-&quot;??_ ;_ @_ "/>
  </numFmts>
  <fonts count="7" x14ac:knownFonts="1">
    <font>
      <sz val="11"/>
      <color theme="1"/>
      <name val="Calibri"/>
      <family val="2"/>
      <scheme val="minor"/>
    </font>
    <font>
      <sz val="11"/>
      <color rgb="FF000000"/>
      <name val="Calibri"/>
      <family val="2"/>
      <scheme val="minor"/>
    </font>
    <font>
      <sz val="26"/>
      <color theme="1"/>
      <name val="Calibri"/>
      <family val="2"/>
      <scheme val="minor"/>
    </font>
    <font>
      <u/>
      <sz val="11"/>
      <color theme="1"/>
      <name val="Calibri"/>
      <family val="2"/>
      <scheme val="minor"/>
    </font>
    <font>
      <sz val="11"/>
      <color theme="0"/>
      <name val="Calibri"/>
      <family val="2"/>
      <scheme val="minor"/>
    </font>
    <font>
      <sz val="10"/>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5">
    <xf numFmtId="0" fontId="0" fillId="0" borderId="0" xfId="0"/>
    <xf numFmtId="9" fontId="0" fillId="0" borderId="0" xfId="0" applyNumberFormat="1"/>
    <xf numFmtId="0" fontId="1" fillId="0" borderId="0" xfId="0" applyFont="1"/>
    <xf numFmtId="164" fontId="1" fillId="0" borderId="0" xfId="0" applyNumberFormat="1" applyFont="1"/>
    <xf numFmtId="164" fontId="0" fillId="0" borderId="0" xfId="0" applyNumberFormat="1"/>
    <xf numFmtId="164" fontId="0" fillId="0" borderId="0" xfId="0" applyNumberFormat="1" applyAlignment="1">
      <alignment horizontal="center"/>
    </xf>
    <xf numFmtId="0" fontId="0" fillId="2" borderId="0" xfId="0" applyFill="1"/>
    <xf numFmtId="0" fontId="2" fillId="2" borderId="0" xfId="0" applyFont="1" applyFill="1"/>
    <xf numFmtId="165" fontId="0" fillId="0" borderId="0" xfId="0" applyNumberFormat="1" applyAlignment="1">
      <alignment horizontal="left"/>
    </xf>
    <xf numFmtId="0" fontId="3" fillId="0" borderId="0" xfId="0" applyFont="1"/>
    <xf numFmtId="0" fontId="6" fillId="0" borderId="0" xfId="0" applyFont="1"/>
    <xf numFmtId="0" fontId="4" fillId="3" borderId="0" xfId="0" applyFont="1" applyFill="1"/>
    <xf numFmtId="0" fontId="0" fillId="0" borderId="0" xfId="0" applyAlignment="1">
      <alignment horizontal="left"/>
    </xf>
    <xf numFmtId="0" fontId="5" fillId="0" borderId="0" xfId="0" applyFont="1"/>
    <xf numFmtId="0" fontId="0" fillId="0" borderId="0" xfId="0" pivotButton="1"/>
  </cellXfs>
  <cellStyles count="1">
    <cellStyle name="Normal" xfId="0" builtinId="0"/>
  </cellStyles>
  <dxfs count="25">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numFmt numFmtId="164" formatCode="[$-14009]dd/mm/yyyy;@"/>
    </dxf>
    <dxf>
      <font>
        <b val="0"/>
        <i val="0"/>
        <strike val="0"/>
        <condense val="0"/>
        <extend val="0"/>
        <outline val="0"/>
        <shadow val="0"/>
        <u val="none"/>
        <vertAlign val="baseline"/>
        <sz val="11"/>
        <color rgb="FF000000"/>
        <name val="Calibri"/>
        <family val="2"/>
        <scheme val="minor"/>
      </font>
      <numFmt numFmtId="164" formatCode="[$-14009]dd/mm/yyyy;@"/>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numFmt numFmtId="13" formatCode="0%"/>
    </dxf>
    <dxf>
      <font>
        <b val="0"/>
        <i val="0"/>
        <strike val="0"/>
        <condense val="0"/>
        <extend val="0"/>
        <outline val="0"/>
        <shadow val="0"/>
        <u val="none"/>
        <vertAlign val="baseline"/>
        <sz val="11"/>
        <color rgb="FF000000"/>
        <name val="Calibri"/>
        <family val="2"/>
        <scheme val="minor"/>
      </font>
    </dxf>
    <dxf>
      <numFmt numFmtId="164" formatCode="[$-14009]dd/mm/yyyy;@"/>
    </dxf>
    <dxf>
      <numFmt numFmtId="164" formatCode="[$-14009]dd/mm/yyyy;@"/>
    </dxf>
    <dxf>
      <font>
        <b val="0"/>
        <i val="0"/>
        <strike val="0"/>
        <condense val="0"/>
        <extend val="0"/>
        <outline val="0"/>
        <shadow val="0"/>
        <u val="none"/>
        <vertAlign val="baseline"/>
        <sz val="11"/>
        <color rgb="FF000000"/>
        <name val="Calibri"/>
        <family val="2"/>
        <scheme val="minor"/>
      </font>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Dashboard.xlsx]ANALSYSIS!PivotTable8</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ANALSYSIS!$C$5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43-4CE3-8252-439EBFB628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43-4CE3-8252-439EBFB628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43-4CE3-8252-439EBFB62828}"/>
              </c:ext>
            </c:extLst>
          </c:dPt>
          <c:cat>
            <c:strRef>
              <c:f>ANALSYSIS!$B$6:$B$9</c:f>
              <c:strCache>
                <c:ptCount val="3"/>
                <c:pt idx="0">
                  <c:v>Furniture</c:v>
                </c:pt>
                <c:pt idx="1">
                  <c:v>Office Supplies</c:v>
                </c:pt>
                <c:pt idx="2">
                  <c:v>Technology</c:v>
                </c:pt>
              </c:strCache>
            </c:strRef>
          </c:cat>
          <c:val>
            <c:numRef>
              <c:f>ANALSYSIS!$C$6:$C$9</c:f>
              <c:numCache>
                <c:formatCode>General</c:formatCode>
                <c:ptCount val="3"/>
                <c:pt idx="0">
                  <c:v>143577</c:v>
                </c:pt>
                <c:pt idx="1">
                  <c:v>277000</c:v>
                </c:pt>
                <c:pt idx="2">
                  <c:v>213018</c:v>
                </c:pt>
              </c:numCache>
            </c:numRef>
          </c:val>
          <c:extLst>
            <c:ext xmlns:c16="http://schemas.microsoft.com/office/drawing/2014/chart" uri="{C3380CC4-5D6E-409C-BE32-E72D297353CC}">
              <c16:uniqueId val="{00000000-BC33-484A-BE2F-ECA525FD21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Dashboard.xlsx]ANALSYSIS!PivotTable4</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PROFIT</a:t>
            </a:r>
            <a:r>
              <a:rPr lang="en-IN" b="1" baseline="0">
                <a:solidFill>
                  <a:schemeClr val="tx1"/>
                </a:solidFill>
              </a:rPr>
              <a:t> BY REGION</a:t>
            </a:r>
            <a:endParaRPr lang="en-IN" b="1">
              <a:solidFill>
                <a:schemeClr val="tx1"/>
              </a:solidFill>
            </a:endParaRPr>
          </a:p>
        </c:rich>
      </c:tx>
      <c:layout>
        <c:manualLayout>
          <c:xMode val="edge"/>
          <c:yMode val="edge"/>
          <c:x val="0.33408009642867931"/>
          <c:y val="4.4878688643058592E-2"/>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ANALSYSIS!$B$23</c:f>
              <c:strCache>
                <c:ptCount val="1"/>
                <c:pt idx="0">
                  <c:v>Total</c:v>
                </c:pt>
              </c:strCache>
            </c:strRef>
          </c:tx>
          <c:spPr>
            <a:solidFill>
              <a:schemeClr val="accent1"/>
            </a:solidFill>
            <a:ln>
              <a:noFill/>
            </a:ln>
            <a:effectLst/>
          </c:spPr>
          <c:invertIfNegative val="0"/>
          <c:cat>
            <c:strRef>
              <c:f>ANALSYSIS!$A$24:$A$28</c:f>
              <c:strCache>
                <c:ptCount val="4"/>
                <c:pt idx="0">
                  <c:v>East</c:v>
                </c:pt>
                <c:pt idx="1">
                  <c:v>North</c:v>
                </c:pt>
                <c:pt idx="2">
                  <c:v>South</c:v>
                </c:pt>
                <c:pt idx="3">
                  <c:v>West</c:v>
                </c:pt>
              </c:strCache>
            </c:strRef>
          </c:cat>
          <c:val>
            <c:numRef>
              <c:f>ANALSYSIS!$B$24:$B$28</c:f>
              <c:numCache>
                <c:formatCode>General</c:formatCode>
                <c:ptCount val="4"/>
                <c:pt idx="0">
                  <c:v>6257.0300000000007</c:v>
                </c:pt>
                <c:pt idx="1">
                  <c:v>9473.0300000000007</c:v>
                </c:pt>
                <c:pt idx="2">
                  <c:v>3276.41</c:v>
                </c:pt>
                <c:pt idx="3">
                  <c:v>7918.49</c:v>
                </c:pt>
              </c:numCache>
            </c:numRef>
          </c:val>
          <c:extLst>
            <c:ext xmlns:c16="http://schemas.microsoft.com/office/drawing/2014/chart" uri="{C3380CC4-5D6E-409C-BE32-E72D297353CC}">
              <c16:uniqueId val="{00000004-AF50-4EE7-A84E-E9584AC1EB63}"/>
            </c:ext>
          </c:extLst>
        </c:ser>
        <c:dLbls>
          <c:showLegendKey val="0"/>
          <c:showVal val="0"/>
          <c:showCatName val="0"/>
          <c:showSerName val="0"/>
          <c:showPercent val="0"/>
          <c:showBubbleSize val="0"/>
        </c:dLbls>
        <c:gapWidth val="182"/>
        <c:axId val="222531967"/>
        <c:axId val="222538207"/>
      </c:barChart>
      <c:catAx>
        <c:axId val="2225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38207"/>
        <c:crosses val="autoZero"/>
        <c:auto val="1"/>
        <c:lblAlgn val="ctr"/>
        <c:lblOffset val="100"/>
        <c:noMultiLvlLbl val="0"/>
      </c:catAx>
      <c:valAx>
        <c:axId val="222538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Dashboard.xlsx]ANALSYSIS!PivotTable5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IN" b="1"/>
          </a:p>
        </c:rich>
      </c:tx>
      <c:overlay val="0"/>
      <c:spPr>
        <a:solidFill>
          <a:schemeClr val="accent1">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ANALSYSIS!$B$41</c:f>
              <c:strCache>
                <c:ptCount val="1"/>
                <c:pt idx="0">
                  <c:v>Total</c:v>
                </c:pt>
              </c:strCache>
            </c:strRef>
          </c:tx>
          <c:spPr>
            <a:ln w="28575" cap="rnd">
              <a:solidFill>
                <a:schemeClr val="accent1"/>
              </a:solidFill>
              <a:round/>
            </a:ln>
            <a:effectLst/>
          </c:spPr>
          <c:marker>
            <c:symbol val="none"/>
          </c:marker>
          <c:cat>
            <c:strRef>
              <c:f>ANALSYSIS!$A$42:$A$48</c:f>
              <c:strCache>
                <c:ptCount val="6"/>
                <c:pt idx="0">
                  <c:v>Jan</c:v>
                </c:pt>
                <c:pt idx="1">
                  <c:v>Feb</c:v>
                </c:pt>
                <c:pt idx="2">
                  <c:v>Mar</c:v>
                </c:pt>
                <c:pt idx="3">
                  <c:v>Apr</c:v>
                </c:pt>
                <c:pt idx="4">
                  <c:v>May</c:v>
                </c:pt>
                <c:pt idx="5">
                  <c:v>Jun</c:v>
                </c:pt>
              </c:strCache>
            </c:strRef>
          </c:cat>
          <c:val>
            <c:numRef>
              <c:f>ANALSYSIS!$B$42:$B$48</c:f>
              <c:numCache>
                <c:formatCode>General</c:formatCode>
                <c:ptCount val="6"/>
                <c:pt idx="0">
                  <c:v>87771</c:v>
                </c:pt>
                <c:pt idx="1">
                  <c:v>20133</c:v>
                </c:pt>
                <c:pt idx="2">
                  <c:v>130160</c:v>
                </c:pt>
                <c:pt idx="3">
                  <c:v>99133</c:v>
                </c:pt>
                <c:pt idx="4">
                  <c:v>138416</c:v>
                </c:pt>
                <c:pt idx="5">
                  <c:v>157982</c:v>
                </c:pt>
              </c:numCache>
            </c:numRef>
          </c:val>
          <c:smooth val="0"/>
          <c:extLst>
            <c:ext xmlns:c16="http://schemas.microsoft.com/office/drawing/2014/chart" uri="{C3380CC4-5D6E-409C-BE32-E72D297353CC}">
              <c16:uniqueId val="{00000004-9E88-4938-8441-9D2B10C0D553}"/>
            </c:ext>
          </c:extLst>
        </c:ser>
        <c:dLbls>
          <c:showLegendKey val="0"/>
          <c:showVal val="0"/>
          <c:showCatName val="0"/>
          <c:showSerName val="0"/>
          <c:showPercent val="0"/>
          <c:showBubbleSize val="0"/>
        </c:dLbls>
        <c:smooth val="0"/>
        <c:axId val="222542527"/>
        <c:axId val="222545887"/>
      </c:lineChart>
      <c:catAx>
        <c:axId val="22254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45887"/>
        <c:crosses val="autoZero"/>
        <c:auto val="1"/>
        <c:lblAlgn val="ctr"/>
        <c:lblOffset val="100"/>
        <c:noMultiLvlLbl val="0"/>
      </c:catAx>
      <c:valAx>
        <c:axId val="22254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542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Dashboard.xlsx]ANALSYSIS!PivotTable6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a:t>
            </a:r>
            <a:r>
              <a:rPr lang="en-US" b="1" baseline="0"/>
              <a:t>CT BY SALES</a:t>
            </a:r>
            <a:endParaRPr lang="en-US" b="1"/>
          </a:p>
        </c:rich>
      </c:tx>
      <c:layout>
        <c:manualLayout>
          <c:xMode val="edge"/>
          <c:yMode val="edge"/>
          <c:x val="0.31121522309711286"/>
          <c:y val="0.10546077573636629"/>
        </c:manualLayout>
      </c:layout>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56758530183726"/>
          <c:y val="0.25865522018081066"/>
          <c:w val="0.5466916010498688"/>
          <c:h val="0.6293157626130067"/>
        </c:manualLayout>
      </c:layout>
      <c:barChart>
        <c:barDir val="bar"/>
        <c:grouping val="clustered"/>
        <c:varyColors val="0"/>
        <c:ser>
          <c:idx val="0"/>
          <c:order val="0"/>
          <c:tx>
            <c:strRef>
              <c:f>ANALSYSIS!$C$60</c:f>
              <c:strCache>
                <c:ptCount val="1"/>
                <c:pt idx="0">
                  <c:v>Total</c:v>
                </c:pt>
              </c:strCache>
            </c:strRef>
          </c:tx>
          <c:spPr>
            <a:solidFill>
              <a:schemeClr val="accent1"/>
            </a:solidFill>
            <a:ln>
              <a:noFill/>
            </a:ln>
            <a:effectLst/>
          </c:spPr>
          <c:invertIfNegative val="0"/>
          <c:cat>
            <c:strRef>
              <c:f>ANALSYSIS!$B$61:$B$65</c:f>
              <c:strCache>
                <c:ptCount val="4"/>
                <c:pt idx="0">
                  <c:v>Samsung Galaxy</c:v>
                </c:pt>
                <c:pt idx="1">
                  <c:v>Ring Binder</c:v>
                </c:pt>
                <c:pt idx="2">
                  <c:v>Office Chair</c:v>
                </c:pt>
                <c:pt idx="3">
                  <c:v>A4 Paper</c:v>
                </c:pt>
              </c:strCache>
            </c:strRef>
          </c:cat>
          <c:val>
            <c:numRef>
              <c:f>ANALSYSIS!$C$61:$C$65</c:f>
              <c:numCache>
                <c:formatCode>General</c:formatCode>
                <c:ptCount val="4"/>
                <c:pt idx="0">
                  <c:v>213018</c:v>
                </c:pt>
                <c:pt idx="1">
                  <c:v>197928</c:v>
                </c:pt>
                <c:pt idx="2">
                  <c:v>143577</c:v>
                </c:pt>
                <c:pt idx="3">
                  <c:v>79072</c:v>
                </c:pt>
              </c:numCache>
            </c:numRef>
          </c:val>
          <c:extLst>
            <c:ext xmlns:c16="http://schemas.microsoft.com/office/drawing/2014/chart" uri="{C3380CC4-5D6E-409C-BE32-E72D297353CC}">
              <c16:uniqueId val="{00000004-99DC-46C8-876B-4DDB5B51014C}"/>
            </c:ext>
          </c:extLst>
        </c:ser>
        <c:dLbls>
          <c:showLegendKey val="0"/>
          <c:showVal val="0"/>
          <c:showCatName val="0"/>
          <c:showSerName val="0"/>
          <c:showPercent val="0"/>
          <c:showBubbleSize val="0"/>
        </c:dLbls>
        <c:gapWidth val="182"/>
        <c:axId val="1620777743"/>
        <c:axId val="1620782543"/>
      </c:barChart>
      <c:catAx>
        <c:axId val="162077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82543"/>
        <c:crosses val="autoZero"/>
        <c:auto val="1"/>
        <c:lblAlgn val="ctr"/>
        <c:lblOffset val="100"/>
        <c:noMultiLvlLbl val="0"/>
      </c:catAx>
      <c:valAx>
        <c:axId val="1620782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77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Dashboard.xlsx]ANALSYSIS!PivotTable8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a:t>
            </a:r>
            <a:r>
              <a:rPr lang="en-US" sz="1800" b="1" baseline="0"/>
              <a:t> BY CATEGORY</a:t>
            </a:r>
            <a:endParaRPr lang="en-US" sz="1800" b="1"/>
          </a:p>
        </c:rich>
      </c:tx>
      <c:overlay val="0"/>
      <c:spPr>
        <a:solidFill>
          <a:schemeClr val="accent1">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ANALSYSIS!$C$5</c:f>
              <c:strCache>
                <c:ptCount val="1"/>
                <c:pt idx="0">
                  <c:v>Total</c:v>
                </c:pt>
              </c:strCache>
            </c:strRef>
          </c:tx>
          <c:spPr>
            <a:solidFill>
              <a:schemeClr val="accent1"/>
            </a:solidFill>
            <a:ln>
              <a:noFill/>
            </a:ln>
            <a:effectLst/>
          </c:spPr>
          <c:invertIfNegative val="0"/>
          <c:cat>
            <c:strRef>
              <c:f>ANALSYSIS!$B$6:$B$9</c:f>
              <c:strCache>
                <c:ptCount val="3"/>
                <c:pt idx="0">
                  <c:v>Furniture</c:v>
                </c:pt>
                <c:pt idx="1">
                  <c:v>Office Supplies</c:v>
                </c:pt>
                <c:pt idx="2">
                  <c:v>Technology</c:v>
                </c:pt>
              </c:strCache>
            </c:strRef>
          </c:cat>
          <c:val>
            <c:numRef>
              <c:f>ANALSYSIS!$C$6:$C$9</c:f>
              <c:numCache>
                <c:formatCode>General</c:formatCode>
                <c:ptCount val="3"/>
                <c:pt idx="0">
                  <c:v>143577</c:v>
                </c:pt>
                <c:pt idx="1">
                  <c:v>277000</c:v>
                </c:pt>
                <c:pt idx="2">
                  <c:v>213018</c:v>
                </c:pt>
              </c:numCache>
            </c:numRef>
          </c:val>
          <c:extLst>
            <c:ext xmlns:c16="http://schemas.microsoft.com/office/drawing/2014/chart" uri="{C3380CC4-5D6E-409C-BE32-E72D297353CC}">
              <c16:uniqueId val="{00000000-1634-436F-91E7-EB1B987CC741}"/>
            </c:ext>
          </c:extLst>
        </c:ser>
        <c:dLbls>
          <c:showLegendKey val="0"/>
          <c:showVal val="0"/>
          <c:showCatName val="0"/>
          <c:showSerName val="0"/>
          <c:showPercent val="0"/>
          <c:showBubbleSize val="0"/>
        </c:dLbls>
        <c:gapWidth val="219"/>
        <c:overlap val="-27"/>
        <c:axId val="1648932447"/>
        <c:axId val="1648941087"/>
      </c:barChart>
      <c:catAx>
        <c:axId val="16489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41087"/>
        <c:crosses val="autoZero"/>
        <c:auto val="1"/>
        <c:lblAlgn val="ctr"/>
        <c:lblOffset val="100"/>
        <c:noMultiLvlLbl val="0"/>
      </c:catAx>
      <c:valAx>
        <c:axId val="1648941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932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68580</xdr:colOff>
      <xdr:row>1</xdr:row>
      <xdr:rowOff>102870</xdr:rowOff>
    </xdr:from>
    <xdr:to>
      <xdr:col>12</xdr:col>
      <xdr:colOff>701040</xdr:colOff>
      <xdr:row>16</xdr:row>
      <xdr:rowOff>102870</xdr:rowOff>
    </xdr:to>
    <xdr:graphicFrame macro="">
      <xdr:nvGraphicFramePr>
        <xdr:cNvPr id="15" name="Chart 14">
          <a:extLst>
            <a:ext uri="{FF2B5EF4-FFF2-40B4-BE49-F238E27FC236}">
              <a16:creationId xmlns:a16="http://schemas.microsoft.com/office/drawing/2014/main" id="{C92A55EB-BC96-4484-7756-26D398B29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445214</xdr:colOff>
      <xdr:row>4</xdr:row>
      <xdr:rowOff>28596</xdr:rowOff>
    </xdr:from>
    <xdr:to>
      <xdr:col>4</xdr:col>
      <xdr:colOff>179798</xdr:colOff>
      <xdr:row>9</xdr:row>
      <xdr:rowOff>74316</xdr:rowOff>
    </xdr:to>
    <xdr:sp macro="" textlink="">
      <xdr:nvSpPr>
        <xdr:cNvPr id="2" name="Rectangle: Rounded Corners 1">
          <a:extLst>
            <a:ext uri="{FF2B5EF4-FFF2-40B4-BE49-F238E27FC236}">
              <a16:creationId xmlns:a16="http://schemas.microsoft.com/office/drawing/2014/main" id="{464CD642-D189-36A0-CD3C-9A5436BCB0A6}"/>
            </a:ext>
          </a:extLst>
        </xdr:cNvPr>
        <xdr:cNvSpPr/>
      </xdr:nvSpPr>
      <xdr:spPr>
        <a:xfrm>
          <a:off x="445214" y="996079"/>
          <a:ext cx="3039438" cy="944709"/>
        </a:xfrm>
        <a:prstGeom prst="roundRect">
          <a:avLst/>
        </a:prstGeom>
        <a:solidFill>
          <a:schemeClr val="accent2">
            <a:lumMod val="20000"/>
            <a:lumOff val="80000"/>
          </a:schemeClr>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1800"/>
            <a:t>💰</a:t>
          </a:r>
          <a:r>
            <a:rPr lang="en-IN" sz="1800" b="1" i="0">
              <a:solidFill>
                <a:schemeClr val="tx1"/>
              </a:solidFill>
            </a:rPr>
            <a:t>TOTAL</a:t>
          </a:r>
          <a:r>
            <a:rPr lang="en-IN" sz="1800" b="1" i="0"/>
            <a:t> </a:t>
          </a:r>
          <a:r>
            <a:rPr lang="en-IN" sz="1800" b="1" i="0">
              <a:solidFill>
                <a:schemeClr val="tx1"/>
              </a:solidFill>
            </a:rPr>
            <a:t>SALES </a:t>
          </a:r>
        </a:p>
        <a:p>
          <a:pPr algn="ctr"/>
          <a:r>
            <a:rPr lang="en-IN" sz="1800">
              <a:solidFill>
                <a:schemeClr val="tx1"/>
              </a:solidFill>
            </a:rPr>
            <a:t> </a:t>
          </a:r>
          <a:r>
            <a:rPr lang="en-IN" sz="2400" b="1">
              <a:solidFill>
                <a:schemeClr val="tx1"/>
              </a:solidFill>
            </a:rPr>
            <a:t>₹</a:t>
          </a:r>
          <a:r>
            <a:rPr lang="en-IN" sz="2400" b="1" i="0">
              <a:solidFill>
                <a:schemeClr val="tx1"/>
              </a:solidFill>
            </a:rPr>
            <a:t>7,102,835</a:t>
          </a:r>
          <a:endParaRPr lang="en-IN" sz="2400" b="1">
            <a:solidFill>
              <a:schemeClr val="tx1"/>
            </a:solidFill>
          </a:endParaRPr>
        </a:p>
        <a:p>
          <a:pPr algn="ctr"/>
          <a:endParaRPr lang="en-IN" sz="2400">
            <a:solidFill>
              <a:schemeClr val="tx1"/>
            </a:solidFill>
          </a:endParaRPr>
        </a:p>
        <a:p>
          <a:pPr algn="l"/>
          <a:endParaRPr lang="en-IN" sz="2800">
            <a:solidFill>
              <a:schemeClr val="tx1"/>
            </a:solidFill>
          </a:endParaRPr>
        </a:p>
      </xdr:txBody>
    </xdr:sp>
    <xdr:clientData/>
  </xdr:twoCellAnchor>
  <xdr:twoCellAnchor>
    <xdr:from>
      <xdr:col>5</xdr:col>
      <xdr:colOff>251460</xdr:colOff>
      <xdr:row>4</xdr:row>
      <xdr:rowOff>38100</xdr:rowOff>
    </xdr:from>
    <xdr:to>
      <xdr:col>10</xdr:col>
      <xdr:colOff>396240</xdr:colOff>
      <xdr:row>9</xdr:row>
      <xdr:rowOff>129540</xdr:rowOff>
    </xdr:to>
    <xdr:sp macro="" textlink="">
      <xdr:nvSpPr>
        <xdr:cNvPr id="3" name="Rectangle: Rounded Corners 2">
          <a:extLst>
            <a:ext uri="{FF2B5EF4-FFF2-40B4-BE49-F238E27FC236}">
              <a16:creationId xmlns:a16="http://schemas.microsoft.com/office/drawing/2014/main" id="{486C3C8F-0707-326F-3007-66CECBA95A0E}"/>
            </a:ext>
          </a:extLst>
        </xdr:cNvPr>
        <xdr:cNvSpPr/>
      </xdr:nvSpPr>
      <xdr:spPr>
        <a:xfrm>
          <a:off x="4168140" y="1013460"/>
          <a:ext cx="3192780" cy="100584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IN" sz="1800"/>
            <a:t>🪙</a:t>
          </a:r>
          <a:r>
            <a:rPr lang="en-IN" sz="1800" b="1"/>
            <a:t>TOTAL PROFIT</a:t>
          </a:r>
        </a:p>
        <a:p>
          <a:pPr algn="ctr"/>
          <a:r>
            <a:rPr lang="en-IN" sz="2400" b="1">
              <a:solidFill>
                <a:schemeClr val="dk1"/>
              </a:solidFill>
              <a:effectLst/>
              <a:latin typeface="+mn-lt"/>
              <a:ea typeface="+mn-ea"/>
              <a:cs typeface="+mn-cs"/>
            </a:rPr>
            <a:t>  ₹</a:t>
          </a:r>
          <a:r>
            <a:rPr lang="en-IN" sz="2400" b="1" i="0" u="none" strike="noStrike">
              <a:solidFill>
                <a:schemeClr val="dk1"/>
              </a:solidFill>
              <a:effectLst/>
              <a:latin typeface="+mn-lt"/>
              <a:ea typeface="+mn-ea"/>
              <a:cs typeface="+mn-cs"/>
            </a:rPr>
            <a:t>324134.7</a:t>
          </a:r>
          <a:r>
            <a:rPr lang="en-IN" sz="2400" b="1">
              <a:effectLst/>
            </a:rPr>
            <a:t> </a:t>
          </a:r>
          <a:endParaRPr lang="en-IN" sz="2400" b="1"/>
        </a:p>
      </xdr:txBody>
    </xdr:sp>
    <xdr:clientData/>
  </xdr:twoCellAnchor>
  <xdr:twoCellAnchor>
    <xdr:from>
      <xdr:col>11</xdr:col>
      <xdr:colOff>542304</xdr:colOff>
      <xdr:row>4</xdr:row>
      <xdr:rowOff>46748</xdr:rowOff>
    </xdr:from>
    <xdr:to>
      <xdr:col>17</xdr:col>
      <xdr:colOff>102057</xdr:colOff>
      <xdr:row>9</xdr:row>
      <xdr:rowOff>138188</xdr:rowOff>
    </xdr:to>
    <xdr:sp macro="" textlink="">
      <xdr:nvSpPr>
        <xdr:cNvPr id="4" name="Rectangle: Rounded Corners 3">
          <a:extLst>
            <a:ext uri="{FF2B5EF4-FFF2-40B4-BE49-F238E27FC236}">
              <a16:creationId xmlns:a16="http://schemas.microsoft.com/office/drawing/2014/main" id="{76AA33DB-C4C2-378A-56AE-D602D79165E0}"/>
            </a:ext>
          </a:extLst>
        </xdr:cNvPr>
        <xdr:cNvSpPr/>
      </xdr:nvSpPr>
      <xdr:spPr>
        <a:xfrm>
          <a:off x="8102371" y="1014231"/>
          <a:ext cx="3207079" cy="990429"/>
        </a:xfrm>
        <a:prstGeom prst="round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t>📋</a:t>
          </a:r>
          <a:r>
            <a:rPr lang="en-IN" sz="1800" b="1">
              <a:solidFill>
                <a:schemeClr val="tx1"/>
              </a:solidFill>
            </a:rPr>
            <a:t>TOTAL</a:t>
          </a:r>
          <a:r>
            <a:rPr lang="en-IN" sz="1800" b="1" baseline="0">
              <a:solidFill>
                <a:schemeClr val="tx1"/>
              </a:solidFill>
            </a:rPr>
            <a:t> ORDERS</a:t>
          </a:r>
        </a:p>
        <a:p>
          <a:pPr algn="ctr"/>
          <a:r>
            <a:rPr lang="en-IN" sz="2400" b="1">
              <a:solidFill>
                <a:schemeClr val="tx1"/>
              </a:solidFill>
              <a:effectLst/>
              <a:latin typeface="+mn-lt"/>
              <a:ea typeface="+mn-ea"/>
              <a:cs typeface="+mn-cs"/>
            </a:rPr>
            <a:t>200</a:t>
          </a:r>
          <a:endParaRPr lang="en-IN" sz="2400" b="1">
            <a:solidFill>
              <a:schemeClr val="tx1"/>
            </a:solidFill>
          </a:endParaRPr>
        </a:p>
      </xdr:txBody>
    </xdr:sp>
    <xdr:clientData/>
  </xdr:twoCellAnchor>
  <xdr:twoCellAnchor>
    <xdr:from>
      <xdr:col>18</xdr:col>
      <xdr:colOff>37587</xdr:colOff>
      <xdr:row>4</xdr:row>
      <xdr:rowOff>41011</xdr:rowOff>
    </xdr:from>
    <xdr:to>
      <xdr:col>22</xdr:col>
      <xdr:colOff>258995</xdr:colOff>
      <xdr:row>9</xdr:row>
      <xdr:rowOff>94351</xdr:rowOff>
    </xdr:to>
    <xdr:sp macro="" textlink="">
      <xdr:nvSpPr>
        <xdr:cNvPr id="5" name="Rectangle: Rounded Corners 4">
          <a:extLst>
            <a:ext uri="{FF2B5EF4-FFF2-40B4-BE49-F238E27FC236}">
              <a16:creationId xmlns:a16="http://schemas.microsoft.com/office/drawing/2014/main" id="{6B8E3F8B-571B-8B7E-946C-3418B54E5B2A}"/>
            </a:ext>
          </a:extLst>
        </xdr:cNvPr>
        <xdr:cNvSpPr/>
      </xdr:nvSpPr>
      <xdr:spPr>
        <a:xfrm>
          <a:off x="11852868" y="1008494"/>
          <a:ext cx="3098172" cy="952329"/>
        </a:xfrm>
        <a:prstGeom prst="roundRect">
          <a:avLst/>
        </a:prstGeom>
        <a:solidFill>
          <a:schemeClr val="accent6">
            <a:lumMod val="20000"/>
            <a:lumOff val="80000"/>
          </a:schemeClr>
        </a:solidFill>
        <a:ln>
          <a:solidFill>
            <a:schemeClr val="bg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IN" sz="1800"/>
            <a:t>📦</a:t>
          </a:r>
          <a:r>
            <a:rPr lang="en-IN" sz="1800" b="1"/>
            <a:t>TOTAL QUANTITY</a:t>
          </a:r>
        </a:p>
        <a:p>
          <a:pPr algn="ctr"/>
          <a:r>
            <a:rPr lang="en-IN" sz="2400" b="1" i="0" u="none" strike="noStrike">
              <a:solidFill>
                <a:schemeClr val="dk1"/>
              </a:solidFill>
              <a:effectLst/>
              <a:latin typeface="+mn-lt"/>
              <a:ea typeface="+mn-ea"/>
              <a:cs typeface="+mn-cs"/>
            </a:rPr>
            <a:t>1054</a:t>
          </a:r>
          <a:r>
            <a:rPr lang="en-IN" sz="2400" b="1">
              <a:effectLst/>
            </a:rPr>
            <a:t> </a:t>
          </a:r>
          <a:endParaRPr lang="en-IN" sz="2400" b="1"/>
        </a:p>
      </xdr:txBody>
    </xdr:sp>
    <xdr:clientData/>
  </xdr:twoCellAnchor>
  <xdr:twoCellAnchor>
    <xdr:from>
      <xdr:col>12</xdr:col>
      <xdr:colOff>61310</xdr:colOff>
      <xdr:row>12</xdr:row>
      <xdr:rowOff>111304</xdr:rowOff>
    </xdr:from>
    <xdr:to>
      <xdr:col>24</xdr:col>
      <xdr:colOff>119865</xdr:colOff>
      <xdr:row>35</xdr:row>
      <xdr:rowOff>87586</xdr:rowOff>
    </xdr:to>
    <xdr:graphicFrame macro="">
      <xdr:nvGraphicFramePr>
        <xdr:cNvPr id="9" name="Chart 8">
          <a:extLst>
            <a:ext uri="{FF2B5EF4-FFF2-40B4-BE49-F238E27FC236}">
              <a16:creationId xmlns:a16="http://schemas.microsoft.com/office/drawing/2014/main" id="{A5611726-7587-477B-AB50-1EDAFF54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39</xdr:row>
      <xdr:rowOff>128427</xdr:rowOff>
    </xdr:from>
    <xdr:to>
      <xdr:col>11</xdr:col>
      <xdr:colOff>122621</xdr:colOff>
      <xdr:row>59</xdr:row>
      <xdr:rowOff>175172</xdr:rowOff>
    </xdr:to>
    <xdr:graphicFrame macro="">
      <xdr:nvGraphicFramePr>
        <xdr:cNvPr id="11" name="Chart 10">
          <a:extLst>
            <a:ext uri="{FF2B5EF4-FFF2-40B4-BE49-F238E27FC236}">
              <a16:creationId xmlns:a16="http://schemas.microsoft.com/office/drawing/2014/main" id="{E91DE949-980B-45ED-9FD8-E5C7861E1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316787</xdr:colOff>
      <xdr:row>39</xdr:row>
      <xdr:rowOff>77054</xdr:rowOff>
    </xdr:from>
    <xdr:to>
      <xdr:col>24</xdr:col>
      <xdr:colOff>175172</xdr:colOff>
      <xdr:row>59</xdr:row>
      <xdr:rowOff>105102</xdr:rowOff>
    </xdr:to>
    <xdr:graphicFrame macro="">
      <xdr:nvGraphicFramePr>
        <xdr:cNvPr id="19" name="Chart 18">
          <a:extLst>
            <a:ext uri="{FF2B5EF4-FFF2-40B4-BE49-F238E27FC236}">
              <a16:creationId xmlns:a16="http://schemas.microsoft.com/office/drawing/2014/main" id="{F434D578-C484-494E-8466-B14527744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0</xdr:colOff>
      <xdr:row>64</xdr:row>
      <xdr:rowOff>0</xdr:rowOff>
    </xdr:from>
    <xdr:to>
      <xdr:col>4</xdr:col>
      <xdr:colOff>321924</xdr:colOff>
      <xdr:row>71</xdr:row>
      <xdr:rowOff>148896</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99BE470D-EF9D-4B2D-99FE-2CEAC1DCE5F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04276" y="12060621"/>
              <a:ext cx="1837165" cy="14364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8561</xdr:colOff>
      <xdr:row>64</xdr:row>
      <xdr:rowOff>25686</xdr:rowOff>
    </xdr:from>
    <xdr:to>
      <xdr:col>10</xdr:col>
      <xdr:colOff>13698</xdr:colOff>
      <xdr:row>71</xdr:row>
      <xdr:rowOff>140139</xdr:rowOff>
    </xdr:to>
    <mc:AlternateContent xmlns:mc="http://schemas.openxmlformats.org/markup-compatibility/2006" xmlns:a14="http://schemas.microsoft.com/office/drawing/2010/main">
      <mc:Choice Requires="a14">
        <xdr:graphicFrame macro="">
          <xdr:nvGraphicFramePr>
            <xdr:cNvPr id="24" name="Ship Mode 2">
              <a:extLst>
                <a:ext uri="{FF2B5EF4-FFF2-40B4-BE49-F238E27FC236}">
                  <a16:creationId xmlns:a16="http://schemas.microsoft.com/office/drawing/2014/main" id="{83A3347D-21E4-4C86-8FA7-D91D8C30419F}"/>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5167389" y="12086307"/>
              <a:ext cx="1844447" cy="1401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64</xdr:row>
      <xdr:rowOff>0</xdr:rowOff>
    </xdr:from>
    <xdr:to>
      <xdr:col>14</xdr:col>
      <xdr:colOff>5137</xdr:colOff>
      <xdr:row>70</xdr:row>
      <xdr:rowOff>122621</xdr:rowOff>
    </xdr:to>
    <mc:AlternateContent xmlns:mc="http://schemas.openxmlformats.org/markup-compatibility/2006" xmlns:a14="http://schemas.microsoft.com/office/drawing/2010/main">
      <mc:Choice Requires="a14">
        <xdr:graphicFrame macro="">
          <xdr:nvGraphicFramePr>
            <xdr:cNvPr id="27" name="Category 1">
              <a:extLst>
                <a:ext uri="{FF2B5EF4-FFF2-40B4-BE49-F238E27FC236}">
                  <a16:creationId xmlns:a16="http://schemas.microsoft.com/office/drawing/2014/main" id="{F93BFCBA-0D22-4E76-9C6C-97EC59C443D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11241" y="12060621"/>
              <a:ext cx="1844448" cy="1226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351034</xdr:colOff>
      <xdr:row>63</xdr:row>
      <xdr:rowOff>85619</xdr:rowOff>
    </xdr:from>
    <xdr:to>
      <xdr:col>18</xdr:col>
      <xdr:colOff>356171</xdr:colOff>
      <xdr:row>69</xdr:row>
      <xdr:rowOff>105103</xdr:rowOff>
    </xdr:to>
    <mc:AlternateContent xmlns:mc="http://schemas.openxmlformats.org/markup-compatibility/2006" xmlns:a14="http://schemas.microsoft.com/office/drawing/2010/main">
      <mc:Choice Requires="a14">
        <xdr:graphicFrame macro="">
          <xdr:nvGraphicFramePr>
            <xdr:cNvPr id="28" name="Segment 1">
              <a:extLst>
                <a:ext uri="{FF2B5EF4-FFF2-40B4-BE49-F238E27FC236}">
                  <a16:creationId xmlns:a16="http://schemas.microsoft.com/office/drawing/2014/main" id="{D4388108-CBB6-4C62-B002-58696956CCD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414689" y="11962309"/>
              <a:ext cx="1844448" cy="1123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603848</xdr:colOff>
      <xdr:row>13</xdr:row>
      <xdr:rowOff>0</xdr:rowOff>
    </xdr:from>
    <xdr:to>
      <xdr:col>10</xdr:col>
      <xdr:colOff>560716</xdr:colOff>
      <xdr:row>35</xdr:row>
      <xdr:rowOff>14378</xdr:rowOff>
    </xdr:to>
    <xdr:graphicFrame macro="">
      <xdr:nvGraphicFramePr>
        <xdr:cNvPr id="30" name="Chart 29">
          <a:extLst>
            <a:ext uri="{FF2B5EF4-FFF2-40B4-BE49-F238E27FC236}">
              <a16:creationId xmlns:a16="http://schemas.microsoft.com/office/drawing/2014/main" id="{CEA7677E-3410-44F5-B1A0-E1744FD79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1.863061226853" backgroundQuery="1" createdVersion="8" refreshedVersion="8" minRefreshableVersion="3" recordCount="0" supportSubquery="1" supportAdvancedDrill="1" xr:uid="{140F4254-E5FC-4BC5-B1BA-1456435E98C9}">
  <cacheSource type="external" connectionId="1"/>
  <cacheFields count="6">
    <cacheField name="[Table1].[Product Name].[Product Name]" caption="Product Name" numFmtId="0" hierarchy="13" level="1">
      <sharedItems count="4">
        <s v="A4 Paper"/>
        <s v="Office Chair"/>
        <s v="Ring Binder"/>
        <s v="Samsung Galaxy"/>
      </sharedItems>
    </cacheField>
    <cacheField name="[Measures].[Sum of Sales]" caption="Sum of Sales" numFmtId="0" hierarchy="23" level="32767"/>
    <cacheField name="[Table1].[Region].[Region]" caption="Region" numFmtId="0" hierarchy="7" level="1">
      <sharedItems containsSemiMixedTypes="0" containsNonDate="0" containsString="0"/>
    </cacheField>
    <cacheField name="[Table1].[Category].[Category]" caption="Category"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5">
    <cacheHierarchy uniqueName="[Table1].[Order ID]" caption="Order ID" attribute="1" defaultMemberUniqueName="[Table1].[Order ID].[All]" allUniqueName="[Table1].[Order ID].[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Ship Date]" caption="Ship Date" attribute="1" time="1" defaultMemberUniqueName="[Table1].[Ship Date].[All]" allUniqueName="[Table1].[Ship Date].[All]" dimensionUniqueName="[Table1]" displayFolder="" count="2"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2" memberValueDatatype="2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Product ID]" caption="Product ID" attribute="1" defaultMemberUniqueName="[Table1].[Product ID].[All]" allUniqueName="[Table1].[Product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2" memberValueDatatype="20"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1.863061921293" backgroundQuery="1" createdVersion="8" refreshedVersion="8" minRefreshableVersion="3" recordCount="0" supportSubquery="1" supportAdvancedDrill="1" xr:uid="{D4287946-E588-44DA-9A36-F5626D361368}">
  <cacheSource type="external" connectionId="1"/>
  <cacheFields count="5">
    <cacheField name="[Table1].[Region].[Region]" caption="Region" numFmtId="0" hierarchy="7" level="1">
      <sharedItems count="4">
        <s v="East"/>
        <s v="North"/>
        <s v="South"/>
        <s v="West"/>
      </sharedItems>
    </cacheField>
    <cacheField name="[Measures].[Sum of Profit]" caption="Sum of Profit" numFmtId="0" hierarchy="22" level="32767"/>
    <cacheField name="[Table1].[Category].[Category]" caption="Category"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1.863062268516" backgroundQuery="1" createdVersion="8" refreshedVersion="8" minRefreshableVersion="3" recordCount="0" supportSubquery="1" supportAdvancedDrill="1" xr:uid="{5B6F798B-65FB-4BB7-A6F7-13FEF04EB4C3}">
  <cacheSource type="external" connectionId="1"/>
  <cacheFields count="6">
    <cacheField name="[Table1].[Order Date (Month)].[Order Date (Month)]" caption="Order Date (Month)" numFmtId="0" hierarchy="18" level="1">
      <sharedItems count="6">
        <s v="Jan"/>
        <s v="Feb"/>
        <s v="Mar"/>
        <s v="Apr"/>
        <s v="May"/>
        <s v="Jun"/>
      </sharedItems>
    </cacheField>
    <cacheField name="[Measures].[Sum of Sales]" caption="Sum of Sales" numFmtId="0" hierarchy="23" level="32767"/>
    <cacheField name="[Table1].[Region].[Region]" caption="Region" numFmtId="0" hierarchy="7" level="1">
      <sharedItems containsSemiMixedTypes="0" containsNonDate="0" containsString="0"/>
    </cacheField>
    <cacheField name="[Table1].[Category].[Category]" caption="Category" numFmtId="0" hierarchy="11"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5"/>
      </fieldsUsage>
    </cacheHierarchy>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4"/>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1.863062847224" backgroundQuery="1" createdVersion="8" refreshedVersion="8" minRefreshableVersion="3" recordCount="0" supportSubquery="1" supportAdvancedDrill="1" xr:uid="{EEE3E3D7-B1F4-4968-B9C5-AA987F8E90BB}">
  <cacheSource type="external" connectionId="1"/>
  <cacheFields count="5">
    <cacheField name="[Table1].[Category].[Category]" caption="Category" numFmtId="0" hierarchy="11" level="1">
      <sharedItems count="3">
        <s v="Furniture"/>
        <s v="Office Supplies"/>
        <s v="Technology"/>
      </sharedItems>
    </cacheField>
    <cacheField name="[Measures].[Sum of Sales]" caption="Sum of Sales" numFmtId="0" hierarchy="23" level="32767"/>
    <cacheField name="[Table1].[Region].[Region]" caption="Region" numFmtId="0" hierarchy="7" level="1">
      <sharedItems containsSemiMixedTypes="0" containsNonDate="0" containsString="0"/>
    </cacheField>
    <cacheField name="[Table1].[Segment].[Segment]" caption="Segment" numFmtId="0" hierarchy="6" level="1">
      <sharedItems containsSemiMixedTypes="0" containsNonDate="0" containsString="0"/>
    </cacheField>
    <cacheField name="[Table1].[Ship Mode].[Ship Mode]" caption="Ship Mode" numFmtId="0" hierarchy="3" level="1">
      <sharedItems containsSemiMixedTypes="0" containsNonDate="0" containsString="0"/>
    </cacheField>
  </cacheFields>
  <cacheHierarchies count="2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4"/>
      </fieldsUsage>
    </cacheHierarchy>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21.847071412034" backgroundQuery="1" createdVersion="3" refreshedVersion="8" minRefreshableVersion="3" recordCount="0" supportSubquery="1" supportAdvancedDrill="1" xr:uid="{97CC722F-A20E-457B-98A2-6515F4DE8E8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0" memberValueDatatype="2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State]" caption="State" attribute="1" defaultMemberUniqueName="[Table1].[State].[All]" allUniqueName="[Table1].[St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7"/>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4"/>
        </ext>
      </extLst>
    </cacheHierarchy>
    <cacheHierarchy uniqueName="[Measures].[Count of Sales]" caption="Count of Sales" measure="1" displayFolder="" measureGroup="Table1"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23863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A2B87-84BC-4E43-93EA-E6CE915A37C4}" name="PivotTable8" cacheId="9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9" firstHeaderRow="1" firstDataRow="1" firstDataCol="1"/>
  <pivotFields count="5">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5">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0"/>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multipleItemSelectionAllowed="1" dragToData="1">
      <members count="1" level="1">
        <member name="[Table1].[Segment].&amp;[Home Office]"/>
      </members>
    </pivotHierarchy>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5E955-0019-4D81-A3D5-8F3471A1EDEA}" name="PivotTable6" cacheId="9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60:C65" firstHeaderRow="1" firstDataRow="1" firstDataCol="1"/>
  <pivotFields count="6">
    <pivotField axis="axisRow" allDrilled="1" subtotalTop="0" showAll="0" measureFilter="1" sortType="descending" defaultSubtotal="0" defaultAttributeDrillState="1">
      <items count="4">
        <item x="3"/>
        <item x="2"/>
        <item x="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multipleItemSelectionAllowed="1" dragToData="1">
      <members count="1" level="1">
        <member name="[Table1].[Segment].&amp;[Home Office]"/>
      </members>
    </pivotHierarchy>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multipleItemSelectionAllowed="1" dragToData="1">
      <members count="3" level="1">
        <member name="[Table1].[Category].&amp;[Furniture]"/>
        <member name="[Table1].[Category].&amp;[Office Supplies]"/>
        <member name="[Table1].[Category].&amp;[Technolog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um of Sales"/>
    <pivotHierarchy dragToData="1" caption="Count of Sales"/>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C6850-1E1B-4138-840C-FD95463F0304}" name="PivotTable5" cacheId="9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41:B48"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es" fld="1"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multipleItemSelectionAllowed="1" dragToData="1">
      <members count="1" level="1">
        <member name="[Table1].[Segment].&amp;[Home Office]"/>
      </members>
    </pivotHierarchy>
    <pivotHierarchy multipleItemSelectionAllowed="1" dragToData="1">
      <members count="4" level="1">
        <member name="[Table1].[Region].&amp;[East]"/>
        <member name="[Table1].[Region].&amp;[North]"/>
        <member name="[Table1].[Region].&amp;[South]"/>
        <member name="[Table1].[Region].&amp;[West]"/>
      </members>
    </pivotHierarchy>
    <pivotHierarchy dragToData="1"/>
    <pivotHierarchy dragToData="1"/>
    <pivotHierarchy dragToData="1"/>
    <pivotHierarchy multipleItemSelectionAllowed="1" dragToData="1">
      <members count="3" level="1">
        <member name="[Table1].[Category].&amp;[Furniture]"/>
        <member name="[Table1].[Category].&amp;[Office Supplies]"/>
        <member name="[Table1].[Category].&amp;[Technolog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9CADCC-8213-4CCE-87AF-D72E88BAEB70}" name="PivotTable4" cacheId="9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3:B28" firstHeaderRow="1" firstDataRow="1" firstDataCol="1"/>
  <pivotFields count="5">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Table1].[Ship Mode].&amp;[First Class]"/>
      </members>
    </pivotHierarchy>
    <pivotHierarchy dragToData="1"/>
    <pivotHierarchy dragToData="1"/>
    <pivotHierarchy multipleItemSelectionAllowed="1" dragToData="1">
      <members count="1" level="1">
        <member name="[Table1].[Segment].&amp;[Home Office]"/>
      </members>
    </pivotHierarchy>
    <pivotHierarchy multipleItemSelectionAllowed="1" dragToData="1"/>
    <pivotHierarchy dragToData="1"/>
    <pivotHierarchy dragToData="1"/>
    <pivotHierarchy dragToData="1"/>
    <pivotHierarchy multipleItemSelectionAllowed="1" dragToData="1">
      <members count="3" level="1">
        <member name="[Table1].[Category].&amp;[Furniture]"/>
        <member name="[Table1].[Category].&amp;[Office Supplies]"/>
        <member name="[Table1].[Category].&amp;[Technology]"/>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erstore sale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3DD9A20-B8DD-46CF-B4D5-9819CA4BBD9E}" sourceName="[Table1].[Region]">
  <pivotTables>
    <pivotTable tabId="11" name="PivotTable6"/>
    <pivotTable tabId="11" name="PivotTable4"/>
    <pivotTable tabId="11" name="PivotTable5"/>
    <pivotTable tabId="11" name="PivotTable8"/>
  </pivotTables>
  <data>
    <olap pivotCacheId="723863946">
      <levels count="2">
        <level uniqueName="[Table1].[Region].[(All)]" sourceCaption="(All)" count="0"/>
        <level uniqueName="[Table1].[Region].[Region]" sourceCaption="Region" count="5">
          <ranges>
            <range startItem="0">
              <i n="[Table1].[Region].&amp;[East]" c="East"/>
              <i n="[Table1].[Region].&amp;[North]" c="North"/>
              <i n="[Table1].[Region].&amp;[South]" c="South"/>
              <i n="[Table1].[Region].&amp;[West]" c="West"/>
              <i n="[Table1].[Region].&amp;" c="(blank)" nd="1"/>
            </range>
          </ranges>
        </level>
      </levels>
      <selections count="4">
        <selection n="[Table1].[Region].&amp;[East]"/>
        <selection n="[Table1].[Region].&amp;[North]"/>
        <selection n="[Table1].[Region].&amp;[South]"/>
        <selection n="[Table1].[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41C2E994-C3C6-4B69-8266-EED848609038}" sourceName="[Table1].[Segment]">
  <pivotTables>
    <pivotTable tabId="11" name="PivotTable6"/>
    <pivotTable tabId="11" name="PivotTable4"/>
    <pivotTable tabId="11" name="PivotTable5"/>
    <pivotTable tabId="11" name="PivotTable8"/>
  </pivotTables>
  <data>
    <olap pivotCacheId="723863946">
      <levels count="2">
        <level uniqueName="[Table1].[Segment].[(All)]" sourceCaption="(All)" count="0"/>
        <level uniqueName="[Table1].[Segment].[Segment]" sourceCaption="Segment" count="4">
          <ranges>
            <range startItem="0">
              <i n="[Table1].[Segment].&amp;[Consumer]" c="Consumer"/>
              <i n="[Table1].[Segment].&amp;[Corporate]" c="Corporate"/>
              <i n="[Table1].[Segment].&amp;[Home Office]" c="Home Office"/>
              <i n="[Table1].[Segment].&amp;" c="(blank)" nd="1"/>
            </range>
          </ranges>
        </level>
      </levels>
      <selections count="1">
        <selection n="[Table1].[Segment].&amp;[Home Offic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3B5B91-B2AF-4F7F-BB18-C7769110B7B9}" sourceName="[Table1].[Category]">
  <pivotTables>
    <pivotTable tabId="11" name="PivotTable6"/>
    <pivotTable tabId="11" name="PivotTable4"/>
    <pivotTable tabId="11" name="PivotTable5"/>
    <pivotTable tabId="11" name="PivotTable8"/>
  </pivotTables>
  <data>
    <olap pivotCacheId="723863946">
      <levels count="2">
        <level uniqueName="[Table1].[Category].[(All)]" sourceCaption="(All)" count="0"/>
        <level uniqueName="[Table1].[Category].[Category]" sourceCaption="Category" count="4">
          <ranges>
            <range startItem="0">
              <i n="[Table1].[Category].&amp;[Furniture]" c="Furniture"/>
              <i n="[Table1].[Category].&amp;[Office Supplies]" c="Office Supplies"/>
              <i n="[Table1].[Category].&amp;[Technology]" c="Technology"/>
              <i n="[Table1].[Category].&amp;" c="(blank)" nd="1"/>
            </range>
          </ranges>
        </level>
      </levels>
      <selections count="3">
        <selection n="[Table1].[Category].&amp;[Furniture]"/>
        <selection n="[Table1].[Category].&amp;[Office Supplies]"/>
        <selection n="[Table1].[Category].&amp;[Technolog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0A93F005-D569-4725-8914-D470E3966829}" sourceName="[Table1].[Ship Mode]">
  <pivotTables>
    <pivotTable tabId="11" name="PivotTable6"/>
    <pivotTable tabId="11" name="PivotTable4"/>
    <pivotTable tabId="11" name="PivotTable5"/>
    <pivotTable tabId="11" name="PivotTable8"/>
  </pivotTables>
  <data>
    <olap pivotCacheId="723863946">
      <levels count="2">
        <level uniqueName="[Table1].[Ship Mode].[(All)]" sourceCaption="(All)" count="0"/>
        <level uniqueName="[Table1].[Ship Mode].[Ship Mode]" sourceCaption="Ship Mode" count="5">
          <ranges>
            <range startItem="0">
              <i n="[Table1].[Ship Mode].&amp;[First Class]" c="First Class"/>
              <i n="[Table1].[Ship Mode].&amp;[Same Day]" c="Same Day"/>
              <i n="[Table1].[Ship Mode].&amp;[Second Class]" c="Second Class"/>
              <i n="[Table1].[Ship Mode].&amp;[Standard Class]" c="Standard Class"/>
              <i n="[Table1].[Ship Mode].&amp;" c="(blank)" nd="1"/>
            </range>
          </ranges>
        </level>
      </levels>
      <selections count="1">
        <selection n="[Table1].[Ship Mode].&amp;[First Clas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AAC01C6-4590-424D-AE82-40CD3E2ACB02}" cache="Slicer_Region" caption="Region" level="1" rowHeight="234950"/>
  <slicer name="Segment 1" xr10:uid="{909C6851-D7FB-4220-A05C-C92E0B142FC4}" cache="Slicer_Segment1" caption="Segment" level="1" rowHeight="234950"/>
  <slicer name="Category 1" xr10:uid="{46E36B35-B420-430C-BB08-0E9CB86F6504}" cache="Slicer_Category" caption="Category" level="1" rowHeight="234950"/>
  <slicer name="Ship Mode 2" xr10:uid="{28D55872-0BD7-4FAE-98CC-B5586111BAE7}" cache="Slicer_Ship_Mode1" caption="Ship Mod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E2F41B-C9FD-415C-9276-1A8D66DE1DDD}" name="Table2" displayName="Table2" ref="A1:F11" totalsRowShown="0">
  <autoFilter ref="A1:F11" xr:uid="{B1E2F41B-C9FD-415C-9276-1A8D66DE1DDD}"/>
  <tableColumns count="6">
    <tableColumn id="1" xr3:uid="{187E3BC1-709F-478B-ADD1-957145B38F14}" name="Customer ID"/>
    <tableColumn id="2" xr3:uid="{00331982-1D75-4CC3-BF7D-7C6D40CB5A42}" name="Customer Name"/>
    <tableColumn id="3" xr3:uid="{74E97FF9-B88C-40AA-B661-1D6C4A3ACBF2}" name="Segment"/>
    <tableColumn id="4" xr3:uid="{161F2827-BA5E-47A8-A725-4AC617CA2548}" name="Region"/>
    <tableColumn id="5" xr3:uid="{60A0CD78-1E17-4488-80E4-569BFE087C71}" name="State"/>
    <tableColumn id="6" xr3:uid="{395014BB-7197-4494-A240-3C407E5711A2}" name="C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8B5CF0-864C-4F90-9751-E0335706B236}" name="Table3" displayName="Table3" ref="A1:D11" totalsRowShown="0">
  <autoFilter ref="A1:D11" xr:uid="{F58B5CF0-864C-4F90-9751-E0335706B236}"/>
  <tableColumns count="4">
    <tableColumn id="1" xr3:uid="{8B963F10-ED21-4240-BDEE-BE9FDD4C4164}" name="Order ID" dataDxfId="24"/>
    <tableColumn id="2" xr3:uid="{B50393B1-D46D-4441-8337-FD6E4244D88C}" name="Order Date" dataDxfId="23"/>
    <tableColumn id="3" xr3:uid="{60CFF03B-BC3E-4D1E-B39B-D42D0A7C57C3}" name="Ship Date" dataDxfId="22"/>
    <tableColumn id="4" xr3:uid="{45140FF5-CBEC-49EB-89E4-7231014B430E}" name="Ship M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EB831B-8602-4580-898E-9221F79DDE7C}" name="Table4" displayName="Table4" ref="A1:D12" totalsRowShown="0">
  <autoFilter ref="A1:D12" xr:uid="{7AEB831B-8602-4580-898E-9221F79DDE7C}"/>
  <tableColumns count="4">
    <tableColumn id="1" xr3:uid="{1B770023-3FC9-4F32-8A04-107E3A584C89}" name="Column1"/>
    <tableColumn id="2" xr3:uid="{32DB78BC-61F7-4A5D-A005-1DC611C0AA3F}" name="Column2"/>
    <tableColumn id="3" xr3:uid="{15843B57-1751-48D7-A183-D337EBE262E9}" name="Column3"/>
    <tableColumn id="4" xr3:uid="{28B56521-4892-4A87-9BD9-26BEE6CAF402}" name="Column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7C8912-1B7C-49FD-80A8-A6EC82F7677B}" name="Table5" displayName="Table5" ref="A1:F11" totalsRowShown="0">
  <autoFilter ref="A1:F11" xr:uid="{4E7C8912-1B7C-49FD-80A8-A6EC82F7677B}"/>
  <tableColumns count="6">
    <tableColumn id="1" xr3:uid="{7DD6CBA5-61D4-43F1-82C8-3B29EDD574B0}" name="Order ID" dataDxfId="21"/>
    <tableColumn id="2" xr3:uid="{2F1EC792-A9CB-4BD6-AF8D-D67946222A2B}" name="Product ID"/>
    <tableColumn id="3" xr3:uid="{438965F5-A4D3-4A81-B722-019F1F2E0BEA}" name="Sales"/>
    <tableColumn id="4" xr3:uid="{2012AE12-7F17-43B3-B28B-5C3115E9257B}" name="Quantity"/>
    <tableColumn id="5" xr3:uid="{573FC61F-9190-4041-A274-43471F4D9A14}" name="Discount" dataDxfId="20"/>
    <tableColumn id="6" xr3:uid="{DD885021-0305-4072-96E5-48FEE17DE72C}" name="Prof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8CD3D-87F9-413C-95ED-65B3E4C9EBE4}" name="Table1" displayName="Table1" ref="A1:R203" totalsRowShown="0" headerRowDxfId="19" dataDxfId="18">
  <autoFilter ref="A1:R203" xr:uid="{BE68CD3D-87F9-413C-95ED-65B3E4C9EBE4}"/>
  <tableColumns count="18">
    <tableColumn id="1" xr3:uid="{3A2EE13B-E580-417B-8EB8-4C6B577EC069}" name="Order ID" dataDxfId="17"/>
    <tableColumn id="2" xr3:uid="{38DC2BFC-4966-493B-892C-0F269B51CAD8}" name="Order Date" dataDxfId="16"/>
    <tableColumn id="3" xr3:uid="{ACE50875-A786-45FA-8594-ABAE18959CA2}" name="Ship Date" dataDxfId="15"/>
    <tableColumn id="4" xr3:uid="{13F31316-AF65-4549-A0D5-AAB11CE7835F}" name="Ship Mode" dataDxfId="14"/>
    <tableColumn id="5" xr3:uid="{8BF9B825-2E03-4D25-B228-266CFF4B2935}" name="Customer ID" dataDxfId="13"/>
    <tableColumn id="6" xr3:uid="{A0009192-EB0A-46AD-AA16-6A56C3A1F8B9}" name="Customer Name" dataDxfId="12"/>
    <tableColumn id="7" xr3:uid="{F5D542F7-ABDC-4A68-88A1-B1526D11A212}" name="Segment" dataDxfId="11"/>
    <tableColumn id="8" xr3:uid="{48BCD86C-D754-4DFC-BD9F-ADE7EDFA2303}" name="Region" dataDxfId="10"/>
    <tableColumn id="9" xr3:uid="{70BB68EB-7ADC-4CE4-A228-4D75D6C94628}" name="State" dataDxfId="9"/>
    <tableColumn id="10" xr3:uid="{441A7A59-1711-4723-946D-67E871B81A91}" name="City" dataDxfId="8"/>
    <tableColumn id="11" xr3:uid="{E569087F-7852-4DF3-8BA4-67DC0898FA1D}" name="Product ID" dataDxfId="7"/>
    <tableColumn id="12" xr3:uid="{219DFA42-BE88-4A94-AFCF-0EA15FD8D950}" name="Category" dataDxfId="6"/>
    <tableColumn id="13" xr3:uid="{02CA3A90-8898-4FA2-9A42-599D28B25465}" name="Sub-Category" dataDxfId="5"/>
    <tableColumn id="14" xr3:uid="{15580D41-9AED-4B3A-BCDA-57E0FD5BA85E}" name="Product Name" dataDxfId="4"/>
    <tableColumn id="15" xr3:uid="{2F937624-DB5B-453A-9B61-C2918DFF62D8}" name="Sales" dataDxfId="3"/>
    <tableColumn id="16" xr3:uid="{58B0BFA7-152E-49F9-9238-4AFFE9FD288E}" name="Quantity" dataDxfId="2"/>
    <tableColumn id="17" xr3:uid="{39004799-C60A-40C5-BC2A-78B87035D649}" name="Discount" dataDxfId="1"/>
    <tableColumn id="18" xr3:uid="{7924ABA2-6878-4D19-A02A-A519B4A81413}" name="Profit"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2C395-67F0-47C1-96D9-36662C637FD7}">
  <dimension ref="A1:F11"/>
  <sheetViews>
    <sheetView workbookViewId="0">
      <selection activeCell="F20" sqref="F20"/>
    </sheetView>
  </sheetViews>
  <sheetFormatPr defaultRowHeight="14.4" x14ac:dyDescent="0.3"/>
  <cols>
    <col min="1" max="1" width="13.21875" customWidth="1"/>
    <col min="2" max="2" width="20.88671875" customWidth="1"/>
    <col min="3" max="3" width="11.33203125" bestFit="1" customWidth="1"/>
    <col min="5" max="5" width="12" customWidth="1"/>
    <col min="6" max="6" width="11.6640625" customWidth="1"/>
  </cols>
  <sheetData>
    <row r="1" spans="1:6" x14ac:dyDescent="0.3">
      <c r="A1" t="s">
        <v>0</v>
      </c>
      <c r="B1" t="s">
        <v>1</v>
      </c>
      <c r="C1" t="s">
        <v>2</v>
      </c>
      <c r="D1" t="s">
        <v>3</v>
      </c>
      <c r="E1" t="s">
        <v>4</v>
      </c>
      <c r="F1" t="s">
        <v>5</v>
      </c>
    </row>
    <row r="2" spans="1:6" x14ac:dyDescent="0.3">
      <c r="A2">
        <v>1</v>
      </c>
      <c r="B2" t="s">
        <v>6</v>
      </c>
      <c r="C2" t="s">
        <v>7</v>
      </c>
      <c r="D2" t="s">
        <v>8</v>
      </c>
      <c r="E2" t="s">
        <v>9</v>
      </c>
      <c r="F2" t="s">
        <v>9</v>
      </c>
    </row>
    <row r="3" spans="1:6" x14ac:dyDescent="0.3">
      <c r="A3">
        <v>2</v>
      </c>
      <c r="B3" t="s">
        <v>10</v>
      </c>
      <c r="C3" t="s">
        <v>11</v>
      </c>
      <c r="D3" t="s">
        <v>12</v>
      </c>
      <c r="E3" t="s">
        <v>13</v>
      </c>
      <c r="F3" t="s">
        <v>14</v>
      </c>
    </row>
    <row r="4" spans="1:6" x14ac:dyDescent="0.3">
      <c r="A4">
        <v>3</v>
      </c>
      <c r="B4" t="s">
        <v>15</v>
      </c>
      <c r="C4" t="s">
        <v>16</v>
      </c>
      <c r="D4" t="s">
        <v>17</v>
      </c>
      <c r="E4" t="s">
        <v>18</v>
      </c>
      <c r="F4" t="s">
        <v>19</v>
      </c>
    </row>
    <row r="5" spans="1:6" x14ac:dyDescent="0.3">
      <c r="A5">
        <v>4</v>
      </c>
      <c r="B5" t="s">
        <v>20</v>
      </c>
      <c r="C5" t="s">
        <v>7</v>
      </c>
      <c r="D5" t="s">
        <v>21</v>
      </c>
      <c r="E5" t="s">
        <v>22</v>
      </c>
      <c r="F5" t="s">
        <v>23</v>
      </c>
    </row>
    <row r="6" spans="1:6" x14ac:dyDescent="0.3">
      <c r="A6">
        <v>5</v>
      </c>
      <c r="B6" t="s">
        <v>24</v>
      </c>
      <c r="C6" t="s">
        <v>7</v>
      </c>
      <c r="D6" t="s">
        <v>8</v>
      </c>
      <c r="E6" t="s">
        <v>25</v>
      </c>
      <c r="F6" t="s">
        <v>26</v>
      </c>
    </row>
    <row r="7" spans="1:6" x14ac:dyDescent="0.3">
      <c r="A7">
        <v>6</v>
      </c>
      <c r="B7" t="s">
        <v>27</v>
      </c>
      <c r="C7" t="s">
        <v>11</v>
      </c>
      <c r="D7" t="s">
        <v>12</v>
      </c>
      <c r="E7" t="s">
        <v>28</v>
      </c>
      <c r="F7" t="s">
        <v>29</v>
      </c>
    </row>
    <row r="8" spans="1:6" x14ac:dyDescent="0.3">
      <c r="A8">
        <v>7</v>
      </c>
      <c r="B8" t="s">
        <v>30</v>
      </c>
      <c r="C8" t="s">
        <v>7</v>
      </c>
      <c r="D8" t="s">
        <v>17</v>
      </c>
      <c r="E8" t="s">
        <v>31</v>
      </c>
      <c r="F8" t="s">
        <v>32</v>
      </c>
    </row>
    <row r="9" spans="1:6" x14ac:dyDescent="0.3">
      <c r="A9">
        <v>8</v>
      </c>
      <c r="B9" t="s">
        <v>33</v>
      </c>
      <c r="C9" t="s">
        <v>16</v>
      </c>
      <c r="D9" t="s">
        <v>21</v>
      </c>
      <c r="E9" t="s">
        <v>34</v>
      </c>
      <c r="F9" t="s">
        <v>35</v>
      </c>
    </row>
    <row r="10" spans="1:6" x14ac:dyDescent="0.3">
      <c r="A10">
        <v>9</v>
      </c>
      <c r="B10" t="s">
        <v>36</v>
      </c>
      <c r="C10" t="s">
        <v>7</v>
      </c>
      <c r="D10" t="s">
        <v>12</v>
      </c>
      <c r="E10" t="s">
        <v>37</v>
      </c>
      <c r="F10" t="s">
        <v>38</v>
      </c>
    </row>
    <row r="11" spans="1:6" x14ac:dyDescent="0.3">
      <c r="A11">
        <v>10</v>
      </c>
      <c r="B11" t="s">
        <v>39</v>
      </c>
      <c r="C11" t="s">
        <v>11</v>
      </c>
      <c r="D11" t="s">
        <v>8</v>
      </c>
      <c r="E11" t="s">
        <v>40</v>
      </c>
      <c r="F1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8B3B-8376-475B-8756-423167F32044}">
  <dimension ref="A1:D11"/>
  <sheetViews>
    <sheetView zoomScaleNormal="100" workbookViewId="0">
      <selection activeCell="G16" sqref="G16"/>
    </sheetView>
  </sheetViews>
  <sheetFormatPr defaultRowHeight="14.4" x14ac:dyDescent="0.3"/>
  <cols>
    <col min="1" max="1" width="9.88671875" customWidth="1"/>
    <col min="2" max="2" width="15.5546875" customWidth="1"/>
    <col min="3" max="3" width="10.88671875" customWidth="1"/>
    <col min="4" max="4" width="13" customWidth="1"/>
  </cols>
  <sheetData>
    <row r="1" spans="1:4" x14ac:dyDescent="0.3">
      <c r="A1" t="s">
        <v>42</v>
      </c>
      <c r="B1" s="5" t="s">
        <v>43</v>
      </c>
      <c r="C1" s="4" t="s">
        <v>44</v>
      </c>
      <c r="D1" t="s">
        <v>45</v>
      </c>
    </row>
    <row r="2" spans="1:4" x14ac:dyDescent="0.3">
      <c r="A2" s="2" t="s">
        <v>46</v>
      </c>
      <c r="B2" s="4">
        <v>45292</v>
      </c>
      <c r="C2" s="4">
        <v>45294</v>
      </c>
      <c r="D2" t="s">
        <v>47</v>
      </c>
    </row>
    <row r="3" spans="1:4" x14ac:dyDescent="0.3">
      <c r="A3" s="2" t="s">
        <v>48</v>
      </c>
      <c r="B3" s="4">
        <v>45293</v>
      </c>
      <c r="C3" s="4">
        <v>45296</v>
      </c>
      <c r="D3" t="s">
        <v>49</v>
      </c>
    </row>
    <row r="4" spans="1:4" x14ac:dyDescent="0.3">
      <c r="A4" s="2" t="s">
        <v>50</v>
      </c>
      <c r="B4" s="4">
        <v>45295</v>
      </c>
      <c r="C4" s="4">
        <v>45297</v>
      </c>
      <c r="D4" t="s">
        <v>47</v>
      </c>
    </row>
    <row r="5" spans="1:4" x14ac:dyDescent="0.3">
      <c r="A5" s="2" t="s">
        <v>51</v>
      </c>
      <c r="B5" s="4">
        <v>45296</v>
      </c>
      <c r="C5" s="4">
        <v>45299</v>
      </c>
      <c r="D5" t="s">
        <v>52</v>
      </c>
    </row>
    <row r="6" spans="1:4" x14ac:dyDescent="0.3">
      <c r="A6" s="2" t="s">
        <v>53</v>
      </c>
      <c r="B6" s="4">
        <v>45298</v>
      </c>
      <c r="C6" s="4">
        <v>45300</v>
      </c>
      <c r="D6" t="s">
        <v>47</v>
      </c>
    </row>
    <row r="7" spans="1:4" x14ac:dyDescent="0.3">
      <c r="A7" s="2" t="s">
        <v>54</v>
      </c>
      <c r="B7" s="4">
        <v>45299</v>
      </c>
      <c r="C7" s="4">
        <v>45301</v>
      </c>
      <c r="D7" t="s">
        <v>55</v>
      </c>
    </row>
    <row r="8" spans="1:4" x14ac:dyDescent="0.3">
      <c r="A8" s="2" t="s">
        <v>56</v>
      </c>
      <c r="B8" s="4">
        <v>45301</v>
      </c>
      <c r="C8" s="4">
        <v>45303</v>
      </c>
      <c r="D8" t="s">
        <v>47</v>
      </c>
    </row>
    <row r="9" spans="1:4" x14ac:dyDescent="0.3">
      <c r="A9" s="2" t="s">
        <v>57</v>
      </c>
      <c r="B9" s="4">
        <v>45303</v>
      </c>
      <c r="C9" s="4">
        <v>45305</v>
      </c>
      <c r="D9" t="s">
        <v>52</v>
      </c>
    </row>
    <row r="10" spans="1:4" x14ac:dyDescent="0.3">
      <c r="A10" s="2" t="s">
        <v>58</v>
      </c>
      <c r="B10" s="4">
        <v>45306</v>
      </c>
      <c r="C10" s="4">
        <v>45308</v>
      </c>
      <c r="D10" t="s">
        <v>47</v>
      </c>
    </row>
    <row r="11" spans="1:4" x14ac:dyDescent="0.3">
      <c r="A11" s="2" t="s">
        <v>59</v>
      </c>
      <c r="B11" s="4">
        <v>45309</v>
      </c>
      <c r="C11" s="4">
        <v>45311</v>
      </c>
      <c r="D11"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2DD04-B223-47F9-B34B-39DBB3B841A2}">
  <dimension ref="A1:D12"/>
  <sheetViews>
    <sheetView workbookViewId="0">
      <selection sqref="A1:D12"/>
    </sheetView>
  </sheetViews>
  <sheetFormatPr defaultRowHeight="14.4" x14ac:dyDescent="0.3"/>
  <cols>
    <col min="1" max="1" width="10.44140625" customWidth="1"/>
    <col min="2" max="2" width="17.77734375" customWidth="1"/>
    <col min="3" max="3" width="10.44140625" customWidth="1"/>
    <col min="4" max="4" width="17.5546875" customWidth="1"/>
  </cols>
  <sheetData>
    <row r="1" spans="1:4" x14ac:dyDescent="0.3">
      <c r="A1" t="s">
        <v>335</v>
      </c>
      <c r="B1" t="s">
        <v>336</v>
      </c>
      <c r="C1" t="s">
        <v>337</v>
      </c>
      <c r="D1" t="s">
        <v>338</v>
      </c>
    </row>
    <row r="2" spans="1:4" x14ac:dyDescent="0.3">
      <c r="A2" t="s">
        <v>60</v>
      </c>
      <c r="B2" t="s">
        <v>61</v>
      </c>
      <c r="C2" t="s">
        <v>62</v>
      </c>
      <c r="D2" t="s">
        <v>63</v>
      </c>
    </row>
    <row r="3" spans="1:4" x14ac:dyDescent="0.3">
      <c r="A3" t="s">
        <v>64</v>
      </c>
      <c r="B3" t="s">
        <v>65</v>
      </c>
      <c r="C3" t="s">
        <v>66</v>
      </c>
      <c r="D3" t="s">
        <v>67</v>
      </c>
    </row>
    <row r="4" spans="1:4" x14ac:dyDescent="0.3">
      <c r="A4" t="s">
        <v>68</v>
      </c>
      <c r="B4" t="s">
        <v>69</v>
      </c>
      <c r="C4" t="s">
        <v>70</v>
      </c>
      <c r="D4" t="s">
        <v>71</v>
      </c>
    </row>
    <row r="5" spans="1:4" x14ac:dyDescent="0.3">
      <c r="A5" t="s">
        <v>72</v>
      </c>
      <c r="B5" t="s">
        <v>73</v>
      </c>
      <c r="C5" t="s">
        <v>74</v>
      </c>
      <c r="D5" t="s">
        <v>75</v>
      </c>
    </row>
    <row r="6" spans="1:4" x14ac:dyDescent="0.3">
      <c r="A6" t="s">
        <v>76</v>
      </c>
      <c r="B6" t="s">
        <v>65</v>
      </c>
      <c r="C6" t="s">
        <v>77</v>
      </c>
      <c r="D6" t="s">
        <v>78</v>
      </c>
    </row>
    <row r="7" spans="1:4" x14ac:dyDescent="0.3">
      <c r="A7" t="s">
        <v>79</v>
      </c>
      <c r="B7" t="s">
        <v>69</v>
      </c>
      <c r="C7" t="s">
        <v>80</v>
      </c>
      <c r="D7" t="s">
        <v>81</v>
      </c>
    </row>
    <row r="8" spans="1:4" x14ac:dyDescent="0.3">
      <c r="A8" t="s">
        <v>82</v>
      </c>
      <c r="B8" t="s">
        <v>73</v>
      </c>
      <c r="C8" t="s">
        <v>83</v>
      </c>
      <c r="D8" t="s">
        <v>84</v>
      </c>
    </row>
    <row r="9" spans="1:4" x14ac:dyDescent="0.3">
      <c r="A9" t="s">
        <v>85</v>
      </c>
      <c r="B9" t="s">
        <v>69</v>
      </c>
      <c r="C9" t="s">
        <v>86</v>
      </c>
      <c r="D9" t="s">
        <v>87</v>
      </c>
    </row>
    <row r="10" spans="1:4" x14ac:dyDescent="0.3">
      <c r="A10" t="s">
        <v>88</v>
      </c>
      <c r="B10" t="s">
        <v>65</v>
      </c>
      <c r="C10" t="s">
        <v>89</v>
      </c>
      <c r="D10" t="s">
        <v>90</v>
      </c>
    </row>
    <row r="11" spans="1:4" x14ac:dyDescent="0.3">
      <c r="A11" t="s">
        <v>91</v>
      </c>
      <c r="B11" t="s">
        <v>73</v>
      </c>
      <c r="C11" t="s">
        <v>92</v>
      </c>
      <c r="D11" t="s">
        <v>93</v>
      </c>
    </row>
    <row r="12" spans="1:4" x14ac:dyDescent="0.3">
      <c r="A12" t="s">
        <v>94</v>
      </c>
      <c r="B12" t="s">
        <v>69</v>
      </c>
      <c r="C12" t="s">
        <v>95</v>
      </c>
      <c r="D12" t="s">
        <v>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698B3-F149-4CAF-AC44-FBEED30677FF}">
  <dimension ref="A1:F11"/>
  <sheetViews>
    <sheetView workbookViewId="0">
      <selection activeCell="F16" sqref="F16"/>
    </sheetView>
  </sheetViews>
  <sheetFormatPr defaultRowHeight="14.4" x14ac:dyDescent="0.3"/>
  <cols>
    <col min="1" max="1" width="9.88671875" customWidth="1"/>
    <col min="2" max="2" width="11.77734375" customWidth="1"/>
    <col min="4" max="5" width="10.21875" customWidth="1"/>
  </cols>
  <sheetData>
    <row r="1" spans="1:6" x14ac:dyDescent="0.3">
      <c r="A1" t="s">
        <v>42</v>
      </c>
      <c r="B1" t="s">
        <v>60</v>
      </c>
      <c r="C1" t="s">
        <v>97</v>
      </c>
      <c r="D1" t="s">
        <v>98</v>
      </c>
      <c r="E1" t="s">
        <v>99</v>
      </c>
      <c r="F1" t="s">
        <v>100</v>
      </c>
    </row>
    <row r="2" spans="1:6" x14ac:dyDescent="0.3">
      <c r="A2" s="2" t="s">
        <v>46</v>
      </c>
      <c r="B2" t="s">
        <v>64</v>
      </c>
      <c r="C2">
        <v>8500</v>
      </c>
      <c r="D2">
        <v>2</v>
      </c>
      <c r="E2" s="1">
        <v>0.1</v>
      </c>
      <c r="F2">
        <v>1500</v>
      </c>
    </row>
    <row r="3" spans="1:6" x14ac:dyDescent="0.3">
      <c r="A3" s="2" t="s">
        <v>48</v>
      </c>
      <c r="B3" t="s">
        <v>68</v>
      </c>
      <c r="C3">
        <v>65000</v>
      </c>
      <c r="D3">
        <v>1</v>
      </c>
      <c r="E3" s="1">
        <v>0.05</v>
      </c>
      <c r="F3">
        <v>8000</v>
      </c>
    </row>
    <row r="4" spans="1:6" x14ac:dyDescent="0.3">
      <c r="A4" s="2" t="s">
        <v>50</v>
      </c>
      <c r="B4" t="s">
        <v>72</v>
      </c>
      <c r="C4">
        <v>450</v>
      </c>
      <c r="D4">
        <v>5</v>
      </c>
      <c r="E4" s="1">
        <v>0</v>
      </c>
      <c r="F4">
        <v>120</v>
      </c>
    </row>
    <row r="5" spans="1:6" x14ac:dyDescent="0.3">
      <c r="A5" s="2" t="s">
        <v>51</v>
      </c>
      <c r="B5" t="s">
        <v>76</v>
      </c>
      <c r="C5">
        <v>12500</v>
      </c>
      <c r="D5">
        <v>1</v>
      </c>
      <c r="E5" s="1">
        <v>0.15</v>
      </c>
      <c r="F5">
        <v>1800</v>
      </c>
    </row>
    <row r="6" spans="1:6" x14ac:dyDescent="0.3">
      <c r="A6" s="2" t="s">
        <v>53</v>
      </c>
      <c r="B6" t="s">
        <v>79</v>
      </c>
      <c r="C6">
        <v>35000</v>
      </c>
      <c r="D6">
        <v>1</v>
      </c>
      <c r="E6" s="1">
        <v>0.08</v>
      </c>
      <c r="F6">
        <v>5200</v>
      </c>
    </row>
    <row r="7" spans="1:6" x14ac:dyDescent="0.3">
      <c r="A7" s="2" t="s">
        <v>54</v>
      </c>
      <c r="B7" t="s">
        <v>82</v>
      </c>
      <c r="C7">
        <v>900</v>
      </c>
      <c r="D7">
        <v>10</v>
      </c>
      <c r="E7" s="1">
        <v>0</v>
      </c>
      <c r="F7">
        <v>250</v>
      </c>
    </row>
    <row r="8" spans="1:6" x14ac:dyDescent="0.3">
      <c r="A8" s="2" t="s">
        <v>56</v>
      </c>
      <c r="B8" t="s">
        <v>85</v>
      </c>
      <c r="C8">
        <v>1200</v>
      </c>
      <c r="D8">
        <v>3</v>
      </c>
      <c r="E8" s="1">
        <v>0.05</v>
      </c>
      <c r="F8">
        <v>350</v>
      </c>
    </row>
    <row r="9" spans="1:6" x14ac:dyDescent="0.3">
      <c r="A9" s="2" t="s">
        <v>57</v>
      </c>
      <c r="B9" t="s">
        <v>88</v>
      </c>
      <c r="C9">
        <v>15500</v>
      </c>
      <c r="D9">
        <v>1</v>
      </c>
      <c r="E9" s="1">
        <v>0.1</v>
      </c>
      <c r="F9">
        <v>2700</v>
      </c>
    </row>
    <row r="10" spans="1:6" x14ac:dyDescent="0.3">
      <c r="A10" s="2" t="s">
        <v>58</v>
      </c>
      <c r="B10" t="s">
        <v>91</v>
      </c>
      <c r="C10">
        <v>650</v>
      </c>
      <c r="D10">
        <v>4</v>
      </c>
      <c r="E10" s="1">
        <v>0</v>
      </c>
      <c r="F10">
        <v>180</v>
      </c>
    </row>
    <row r="11" spans="1:6" x14ac:dyDescent="0.3">
      <c r="A11" s="2" t="s">
        <v>59</v>
      </c>
      <c r="B11" t="s">
        <v>94</v>
      </c>
      <c r="C11">
        <v>14000</v>
      </c>
      <c r="D11">
        <v>1</v>
      </c>
      <c r="E11" s="1">
        <v>0.12</v>
      </c>
      <c r="F11">
        <v>2100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323A-23B4-4DEE-A6C0-2EC38E6C9BA1}">
  <dimension ref="A5:C65"/>
  <sheetViews>
    <sheetView showGridLines="0" workbookViewId="0">
      <selection activeCell="J18" sqref="J18"/>
    </sheetView>
  </sheetViews>
  <sheetFormatPr defaultRowHeight="14.4" x14ac:dyDescent="0.3"/>
  <cols>
    <col min="1" max="1" width="13.109375" bestFit="1" customWidth="1"/>
    <col min="2" max="3" width="11.6640625" bestFit="1" customWidth="1"/>
    <col min="4" max="4" width="4" bestFit="1" customWidth="1"/>
    <col min="5" max="5" width="4.44140625" bestFit="1" customWidth="1"/>
    <col min="6" max="6" width="4" bestFit="1" customWidth="1"/>
    <col min="7" max="7" width="4.77734375" bestFit="1" customWidth="1"/>
    <col min="8" max="8" width="3.88671875" bestFit="1" customWidth="1"/>
    <col min="9" max="9" width="10.77734375" bestFit="1" customWidth="1"/>
    <col min="10" max="116" width="15.5546875" bestFit="1" customWidth="1"/>
    <col min="117" max="117" width="10.77734375" bestFit="1" customWidth="1"/>
  </cols>
  <sheetData>
    <row r="5" spans="2:3" x14ac:dyDescent="0.3">
      <c r="B5" s="14" t="s">
        <v>341</v>
      </c>
      <c r="C5" t="s">
        <v>344</v>
      </c>
    </row>
    <row r="6" spans="2:3" x14ac:dyDescent="0.3">
      <c r="B6" s="12" t="s">
        <v>65</v>
      </c>
      <c r="C6">
        <v>143577</v>
      </c>
    </row>
    <row r="7" spans="2:3" x14ac:dyDescent="0.3">
      <c r="B7" s="12" t="s">
        <v>73</v>
      </c>
      <c r="C7">
        <v>277000</v>
      </c>
    </row>
    <row r="8" spans="2:3" x14ac:dyDescent="0.3">
      <c r="B8" s="12" t="s">
        <v>69</v>
      </c>
      <c r="C8">
        <v>213018</v>
      </c>
    </row>
    <row r="9" spans="2:3" x14ac:dyDescent="0.3">
      <c r="B9" s="12" t="s">
        <v>342</v>
      </c>
      <c r="C9">
        <v>633595</v>
      </c>
    </row>
    <row r="23" spans="1:2" x14ac:dyDescent="0.3">
      <c r="A23" s="14" t="s">
        <v>341</v>
      </c>
      <c r="B23" t="s">
        <v>345</v>
      </c>
    </row>
    <row r="24" spans="1:2" x14ac:dyDescent="0.3">
      <c r="A24" s="12" t="s">
        <v>21</v>
      </c>
      <c r="B24">
        <v>6257.0300000000007</v>
      </c>
    </row>
    <row r="25" spans="1:2" x14ac:dyDescent="0.3">
      <c r="A25" s="12" t="s">
        <v>8</v>
      </c>
      <c r="B25">
        <v>9473.0300000000007</v>
      </c>
    </row>
    <row r="26" spans="1:2" x14ac:dyDescent="0.3">
      <c r="A26" s="12" t="s">
        <v>17</v>
      </c>
      <c r="B26">
        <v>3276.41</v>
      </c>
    </row>
    <row r="27" spans="1:2" x14ac:dyDescent="0.3">
      <c r="A27" s="12" t="s">
        <v>12</v>
      </c>
      <c r="B27">
        <v>7918.49</v>
      </c>
    </row>
    <row r="28" spans="1:2" x14ac:dyDescent="0.3">
      <c r="A28" s="12" t="s">
        <v>342</v>
      </c>
      <c r="B28">
        <v>26924.959999999999</v>
      </c>
    </row>
    <row r="41" spans="1:2" x14ac:dyDescent="0.3">
      <c r="A41" s="14" t="s">
        <v>341</v>
      </c>
      <c r="B41" t="s">
        <v>344</v>
      </c>
    </row>
    <row r="42" spans="1:2" x14ac:dyDescent="0.3">
      <c r="A42" s="12" t="s">
        <v>346</v>
      </c>
      <c r="B42">
        <v>87771</v>
      </c>
    </row>
    <row r="43" spans="1:2" x14ac:dyDescent="0.3">
      <c r="A43" s="12" t="s">
        <v>347</v>
      </c>
      <c r="B43">
        <v>20133</v>
      </c>
    </row>
    <row r="44" spans="1:2" x14ac:dyDescent="0.3">
      <c r="A44" s="12" t="s">
        <v>348</v>
      </c>
      <c r="B44">
        <v>130160</v>
      </c>
    </row>
    <row r="45" spans="1:2" x14ac:dyDescent="0.3">
      <c r="A45" s="12" t="s">
        <v>349</v>
      </c>
      <c r="B45">
        <v>99133</v>
      </c>
    </row>
    <row r="46" spans="1:2" x14ac:dyDescent="0.3">
      <c r="A46" s="12" t="s">
        <v>350</v>
      </c>
      <c r="B46">
        <v>138416</v>
      </c>
    </row>
    <row r="47" spans="1:2" x14ac:dyDescent="0.3">
      <c r="A47" s="12" t="s">
        <v>351</v>
      </c>
      <c r="B47">
        <v>157982</v>
      </c>
    </row>
    <row r="48" spans="1:2" x14ac:dyDescent="0.3">
      <c r="A48" s="12" t="s">
        <v>342</v>
      </c>
      <c r="B48">
        <v>633595</v>
      </c>
    </row>
    <row r="60" spans="2:3" x14ac:dyDescent="0.3">
      <c r="B60" s="14" t="s">
        <v>341</v>
      </c>
      <c r="C60" t="s">
        <v>344</v>
      </c>
    </row>
    <row r="61" spans="2:3" x14ac:dyDescent="0.3">
      <c r="B61" s="12" t="s">
        <v>81</v>
      </c>
      <c r="C61">
        <v>213018</v>
      </c>
    </row>
    <row r="62" spans="2:3" x14ac:dyDescent="0.3">
      <c r="B62" s="12" t="s">
        <v>75</v>
      </c>
      <c r="C62">
        <v>197928</v>
      </c>
    </row>
    <row r="63" spans="2:3" x14ac:dyDescent="0.3">
      <c r="B63" s="12" t="s">
        <v>67</v>
      </c>
      <c r="C63">
        <v>143577</v>
      </c>
    </row>
    <row r="64" spans="2:3" x14ac:dyDescent="0.3">
      <c r="B64" s="12" t="s">
        <v>102</v>
      </c>
      <c r="C64">
        <v>79072</v>
      </c>
    </row>
    <row r="65" spans="2:3" x14ac:dyDescent="0.3">
      <c r="B65" s="12" t="s">
        <v>342</v>
      </c>
      <c r="C65">
        <v>633595</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64EF-CCCD-45F3-9569-489E5DED726D}">
  <dimension ref="A1:T250"/>
  <sheetViews>
    <sheetView topLeftCell="A2" workbookViewId="0">
      <selection activeCell="A2" sqref="A2:R201"/>
    </sheetView>
  </sheetViews>
  <sheetFormatPr defaultRowHeight="14.4" x14ac:dyDescent="0.3"/>
  <cols>
    <col min="1" max="1" width="9.88671875" customWidth="1"/>
    <col min="2" max="2" width="12" customWidth="1"/>
    <col min="3" max="3" width="10.88671875" style="4" customWidth="1"/>
    <col min="4" max="4" width="18.33203125" customWidth="1"/>
    <col min="5" max="5" width="13.21875" customWidth="1"/>
    <col min="6" max="6" width="16.44140625" customWidth="1"/>
    <col min="7" max="7" width="15.21875" customWidth="1"/>
    <col min="9" max="9" width="15.44140625" customWidth="1"/>
    <col min="10" max="10" width="13.44140625" customWidth="1"/>
    <col min="11" max="11" width="11.77734375" customWidth="1"/>
    <col min="12" max="12" width="10.44140625" customWidth="1"/>
    <col min="13" max="13" width="14.33203125" customWidth="1"/>
    <col min="14" max="14" width="15" customWidth="1"/>
    <col min="16" max="17" width="10.21875" customWidth="1"/>
  </cols>
  <sheetData>
    <row r="1" spans="1:20" x14ac:dyDescent="0.3">
      <c r="A1" s="2" t="s">
        <v>42</v>
      </c>
      <c r="B1" s="2" t="s">
        <v>43</v>
      </c>
      <c r="C1" s="3" t="s">
        <v>44</v>
      </c>
      <c r="D1" s="2" t="s">
        <v>45</v>
      </c>
      <c r="E1" s="2" t="s">
        <v>0</v>
      </c>
      <c r="F1" s="2" t="s">
        <v>1</v>
      </c>
      <c r="G1" s="2" t="s">
        <v>2</v>
      </c>
      <c r="H1" s="2" t="s">
        <v>3</v>
      </c>
      <c r="I1" s="2" t="s">
        <v>4</v>
      </c>
      <c r="J1" s="2" t="s">
        <v>5</v>
      </c>
      <c r="K1" s="2" t="s">
        <v>60</v>
      </c>
      <c r="L1" s="2" t="s">
        <v>61</v>
      </c>
      <c r="M1" s="2" t="s">
        <v>62</v>
      </c>
      <c r="N1" s="2" t="s">
        <v>63</v>
      </c>
      <c r="O1" s="2" t="s">
        <v>97</v>
      </c>
      <c r="P1" s="2" t="s">
        <v>98</v>
      </c>
      <c r="Q1" s="2" t="s">
        <v>99</v>
      </c>
      <c r="R1" s="2" t="s">
        <v>100</v>
      </c>
      <c r="S1" s="2"/>
    </row>
    <row r="2" spans="1:20" x14ac:dyDescent="0.3">
      <c r="A2" s="2" t="s">
        <v>46</v>
      </c>
      <c r="B2" s="3">
        <v>45397</v>
      </c>
      <c r="C2" s="3">
        <v>45399</v>
      </c>
      <c r="D2" s="2" t="s">
        <v>49</v>
      </c>
      <c r="E2" s="2">
        <v>1</v>
      </c>
      <c r="F2" s="2" t="s">
        <v>101</v>
      </c>
      <c r="G2" s="2" t="s">
        <v>16</v>
      </c>
      <c r="H2" s="2" t="s">
        <v>12</v>
      </c>
      <c r="I2" s="2" t="s">
        <v>13</v>
      </c>
      <c r="J2" s="2" t="s">
        <v>14</v>
      </c>
      <c r="K2" s="2" t="s">
        <v>79</v>
      </c>
      <c r="L2" s="2" t="s">
        <v>73</v>
      </c>
      <c r="M2" s="2" t="s">
        <v>83</v>
      </c>
      <c r="N2" s="2" t="s">
        <v>102</v>
      </c>
      <c r="O2" s="2">
        <v>5241</v>
      </c>
      <c r="P2" s="2">
        <v>2</v>
      </c>
      <c r="Q2" s="2">
        <v>0.2</v>
      </c>
      <c r="R2" s="2">
        <v>699.48</v>
      </c>
      <c r="S2" s="2"/>
    </row>
    <row r="3" spans="1:20" x14ac:dyDescent="0.3">
      <c r="A3" s="2" t="s">
        <v>48</v>
      </c>
      <c r="B3" s="3">
        <v>45388</v>
      </c>
      <c r="C3" s="3">
        <v>45389</v>
      </c>
      <c r="D3" s="2" t="s">
        <v>47</v>
      </c>
      <c r="E3" s="2">
        <v>2</v>
      </c>
      <c r="F3" s="2" t="s">
        <v>103</v>
      </c>
      <c r="G3" s="2" t="s">
        <v>16</v>
      </c>
      <c r="H3" s="2" t="s">
        <v>12</v>
      </c>
      <c r="I3" s="2" t="s">
        <v>13</v>
      </c>
      <c r="J3" s="2" t="s">
        <v>14</v>
      </c>
      <c r="K3" s="2" t="s">
        <v>68</v>
      </c>
      <c r="L3" s="2" t="s">
        <v>69</v>
      </c>
      <c r="M3" s="2" t="s">
        <v>70</v>
      </c>
      <c r="N3" s="2" t="s">
        <v>71</v>
      </c>
      <c r="O3" s="2">
        <v>21771</v>
      </c>
      <c r="P3" s="2">
        <v>5</v>
      </c>
      <c r="Q3" s="2">
        <v>0.2</v>
      </c>
      <c r="R3" s="2">
        <v>290.27999999999997</v>
      </c>
    </row>
    <row r="4" spans="1:20" x14ac:dyDescent="0.3">
      <c r="A4" s="2" t="s">
        <v>50</v>
      </c>
      <c r="B4" s="3">
        <v>45317</v>
      </c>
      <c r="C4" s="3">
        <v>45318</v>
      </c>
      <c r="D4" s="2" t="s">
        <v>47</v>
      </c>
      <c r="E4" s="2">
        <v>3</v>
      </c>
      <c r="F4" s="2" t="s">
        <v>101</v>
      </c>
      <c r="G4" s="2" t="s">
        <v>7</v>
      </c>
      <c r="H4" s="2" t="s">
        <v>21</v>
      </c>
      <c r="I4" s="2" t="s">
        <v>22</v>
      </c>
      <c r="J4" s="2" t="s">
        <v>23</v>
      </c>
      <c r="K4" s="2" t="s">
        <v>76</v>
      </c>
      <c r="L4" s="2" t="s">
        <v>69</v>
      </c>
      <c r="M4" s="2" t="s">
        <v>80</v>
      </c>
      <c r="N4" s="2" t="s">
        <v>81</v>
      </c>
      <c r="O4" s="2">
        <v>38587</v>
      </c>
      <c r="P4" s="2">
        <v>4</v>
      </c>
      <c r="Q4" s="2">
        <v>0.05</v>
      </c>
      <c r="R4" s="2">
        <v>2443.84</v>
      </c>
      <c r="S4" s="2"/>
    </row>
    <row r="5" spans="1:20" x14ac:dyDescent="0.3">
      <c r="A5" s="2" t="s">
        <v>51</v>
      </c>
      <c r="B5" s="3">
        <v>45425</v>
      </c>
      <c r="C5" s="3">
        <v>45429</v>
      </c>
      <c r="D5" s="2" t="s">
        <v>49</v>
      </c>
      <c r="E5" s="2">
        <v>4</v>
      </c>
      <c r="F5" s="2" t="s">
        <v>104</v>
      </c>
      <c r="G5" s="2" t="s">
        <v>11</v>
      </c>
      <c r="H5" s="2" t="s">
        <v>8</v>
      </c>
      <c r="I5" s="2" t="s">
        <v>9</v>
      </c>
      <c r="J5" s="2" t="s">
        <v>9</v>
      </c>
      <c r="K5" s="2" t="s">
        <v>76</v>
      </c>
      <c r="L5" s="2" t="s">
        <v>69</v>
      </c>
      <c r="M5" s="2" t="s">
        <v>80</v>
      </c>
      <c r="N5" s="2" t="s">
        <v>81</v>
      </c>
      <c r="O5" s="2">
        <v>63686</v>
      </c>
      <c r="P5" s="2">
        <v>10</v>
      </c>
      <c r="Q5" s="2">
        <v>0.15</v>
      </c>
      <c r="R5" s="2">
        <v>1910.58</v>
      </c>
      <c r="S5" s="2"/>
    </row>
    <row r="6" spans="1:20" x14ac:dyDescent="0.3">
      <c r="A6" s="2" t="s">
        <v>53</v>
      </c>
      <c r="B6" s="3">
        <v>45438</v>
      </c>
      <c r="C6" s="3">
        <v>45440</v>
      </c>
      <c r="D6" s="2" t="s">
        <v>55</v>
      </c>
      <c r="E6" s="2">
        <v>5</v>
      </c>
      <c r="F6" s="2" t="s">
        <v>10</v>
      </c>
      <c r="G6" s="2" t="s">
        <v>11</v>
      </c>
      <c r="H6" s="2" t="s">
        <v>21</v>
      </c>
      <c r="I6" s="2" t="s">
        <v>22</v>
      </c>
      <c r="J6" s="2" t="s">
        <v>23</v>
      </c>
      <c r="K6" s="2" t="s">
        <v>76</v>
      </c>
      <c r="L6" s="2" t="s">
        <v>69</v>
      </c>
      <c r="M6" s="2" t="s">
        <v>80</v>
      </c>
      <c r="N6" s="2" t="s">
        <v>81</v>
      </c>
      <c r="O6" s="2">
        <v>43797</v>
      </c>
      <c r="P6" s="2">
        <v>10</v>
      </c>
      <c r="Q6" s="2">
        <v>0.15</v>
      </c>
      <c r="R6" s="2">
        <v>1313.91</v>
      </c>
      <c r="S6" s="2"/>
    </row>
    <row r="7" spans="1:20" x14ac:dyDescent="0.3">
      <c r="A7" s="2" t="s">
        <v>54</v>
      </c>
      <c r="B7" s="3">
        <v>45309</v>
      </c>
      <c r="C7" s="3">
        <v>45311</v>
      </c>
      <c r="D7" s="2" t="s">
        <v>49</v>
      </c>
      <c r="E7" s="2">
        <v>6</v>
      </c>
      <c r="F7" s="2" t="s">
        <v>105</v>
      </c>
      <c r="G7" s="2" t="s">
        <v>11</v>
      </c>
      <c r="H7" s="2" t="s">
        <v>17</v>
      </c>
      <c r="I7" s="2" t="s">
        <v>18</v>
      </c>
      <c r="J7" s="2" t="s">
        <v>19</v>
      </c>
      <c r="K7" s="2" t="s">
        <v>64</v>
      </c>
      <c r="L7" s="2" t="s">
        <v>65</v>
      </c>
      <c r="M7" s="2" t="s">
        <v>66</v>
      </c>
      <c r="N7" s="2" t="s">
        <v>67</v>
      </c>
      <c r="O7" s="2">
        <v>5579</v>
      </c>
      <c r="P7" s="2">
        <v>5</v>
      </c>
      <c r="Q7" s="2">
        <v>0</v>
      </c>
      <c r="R7" s="2">
        <v>446.32</v>
      </c>
      <c r="S7" s="2"/>
      <c r="T7">
        <f>SUM(Table1[Quantity])</f>
        <v>1054</v>
      </c>
    </row>
    <row r="8" spans="1:20" x14ac:dyDescent="0.3">
      <c r="A8" s="2" t="s">
        <v>56</v>
      </c>
      <c r="B8" s="3">
        <v>45307</v>
      </c>
      <c r="C8" s="3">
        <v>45311</v>
      </c>
      <c r="D8" s="2" t="s">
        <v>55</v>
      </c>
      <c r="E8" s="2">
        <v>7</v>
      </c>
      <c r="F8" s="2" t="s">
        <v>106</v>
      </c>
      <c r="G8" s="2" t="s">
        <v>11</v>
      </c>
      <c r="H8" s="2" t="s">
        <v>17</v>
      </c>
      <c r="I8" s="2" t="s">
        <v>18</v>
      </c>
      <c r="J8" s="2" t="s">
        <v>19</v>
      </c>
      <c r="K8" s="2" t="s">
        <v>76</v>
      </c>
      <c r="L8" s="2" t="s">
        <v>69</v>
      </c>
      <c r="M8" s="2" t="s">
        <v>80</v>
      </c>
      <c r="N8" s="2" t="s">
        <v>81</v>
      </c>
      <c r="O8" s="2">
        <v>14273</v>
      </c>
      <c r="P8" s="2">
        <v>7</v>
      </c>
      <c r="Q8" s="2">
        <v>0.05</v>
      </c>
      <c r="R8" s="2">
        <v>903.96</v>
      </c>
      <c r="S8" s="2"/>
    </row>
    <row r="9" spans="1:20" x14ac:dyDescent="0.3">
      <c r="A9" s="2" t="s">
        <v>57</v>
      </c>
      <c r="B9" s="3">
        <v>45454</v>
      </c>
      <c r="C9" s="3">
        <v>45459</v>
      </c>
      <c r="D9" s="2" t="s">
        <v>52</v>
      </c>
      <c r="E9" s="2">
        <v>8</v>
      </c>
      <c r="F9" s="2" t="s">
        <v>107</v>
      </c>
      <c r="G9" s="2" t="s">
        <v>11</v>
      </c>
      <c r="H9" s="2" t="s">
        <v>21</v>
      </c>
      <c r="I9" s="2" t="s">
        <v>22</v>
      </c>
      <c r="J9" s="2" t="s">
        <v>23</v>
      </c>
      <c r="K9" s="2" t="s">
        <v>72</v>
      </c>
      <c r="L9" s="2" t="s">
        <v>73</v>
      </c>
      <c r="M9" s="2" t="s">
        <v>74</v>
      </c>
      <c r="N9" s="2" t="s">
        <v>75</v>
      </c>
      <c r="O9" s="2">
        <v>59391</v>
      </c>
      <c r="P9" s="2">
        <v>2</v>
      </c>
      <c r="Q9" s="2">
        <v>0.05</v>
      </c>
      <c r="R9" s="2">
        <v>3761.43</v>
      </c>
      <c r="S9" s="2"/>
    </row>
    <row r="10" spans="1:20" x14ac:dyDescent="0.3">
      <c r="A10" s="2" t="s">
        <v>58</v>
      </c>
      <c r="B10" s="3">
        <v>45401</v>
      </c>
      <c r="C10" s="3">
        <v>45403</v>
      </c>
      <c r="D10" s="2" t="s">
        <v>47</v>
      </c>
      <c r="E10" s="2">
        <v>9</v>
      </c>
      <c r="F10" s="2" t="s">
        <v>105</v>
      </c>
      <c r="G10" s="2" t="s">
        <v>11</v>
      </c>
      <c r="H10" s="2" t="s">
        <v>8</v>
      </c>
      <c r="I10" s="2" t="s">
        <v>40</v>
      </c>
      <c r="J10" s="2" t="s">
        <v>41</v>
      </c>
      <c r="K10" s="2" t="s">
        <v>64</v>
      </c>
      <c r="L10" s="2" t="s">
        <v>65</v>
      </c>
      <c r="M10" s="2" t="s">
        <v>66</v>
      </c>
      <c r="N10" s="2" t="s">
        <v>67</v>
      </c>
      <c r="O10" s="2">
        <v>34641</v>
      </c>
      <c r="P10" s="2">
        <v>4</v>
      </c>
      <c r="Q10" s="2">
        <v>0.2</v>
      </c>
      <c r="R10" s="2">
        <v>461.88</v>
      </c>
      <c r="S10" s="2"/>
    </row>
    <row r="11" spans="1:20" x14ac:dyDescent="0.3">
      <c r="A11" s="2" t="s">
        <v>59</v>
      </c>
      <c r="B11" s="3">
        <v>45445</v>
      </c>
      <c r="C11" s="3">
        <v>45446</v>
      </c>
      <c r="D11" s="2" t="s">
        <v>49</v>
      </c>
      <c r="E11" s="2">
        <v>10</v>
      </c>
      <c r="F11" s="2" t="s">
        <v>108</v>
      </c>
      <c r="G11" s="2" t="s">
        <v>7</v>
      </c>
      <c r="H11" s="2" t="s">
        <v>12</v>
      </c>
      <c r="I11" s="2" t="s">
        <v>13</v>
      </c>
      <c r="J11" s="2" t="s">
        <v>14</v>
      </c>
      <c r="K11" s="2" t="s">
        <v>76</v>
      </c>
      <c r="L11" s="2" t="s">
        <v>69</v>
      </c>
      <c r="M11" s="2" t="s">
        <v>80</v>
      </c>
      <c r="N11" s="2" t="s">
        <v>81</v>
      </c>
      <c r="O11" s="2">
        <v>22827</v>
      </c>
      <c r="P11" s="2">
        <v>6</v>
      </c>
      <c r="Q11" s="2">
        <v>0</v>
      </c>
      <c r="R11" s="2">
        <v>1826.16</v>
      </c>
      <c r="S11" s="2"/>
    </row>
    <row r="12" spans="1:20" x14ac:dyDescent="0.3">
      <c r="A12" s="2" t="s">
        <v>109</v>
      </c>
      <c r="B12" s="3">
        <v>45352</v>
      </c>
      <c r="C12" s="3">
        <v>45354</v>
      </c>
      <c r="D12" s="2" t="s">
        <v>52</v>
      </c>
      <c r="E12" s="2">
        <v>11</v>
      </c>
      <c r="F12" s="2" t="s">
        <v>110</v>
      </c>
      <c r="G12" s="2" t="s">
        <v>11</v>
      </c>
      <c r="H12" s="2" t="s">
        <v>8</v>
      </c>
      <c r="I12" s="2" t="s">
        <v>40</v>
      </c>
      <c r="J12" s="2" t="s">
        <v>41</v>
      </c>
      <c r="K12" s="2" t="s">
        <v>72</v>
      </c>
      <c r="L12" s="2" t="s">
        <v>73</v>
      </c>
      <c r="M12" s="2" t="s">
        <v>74</v>
      </c>
      <c r="N12" s="2" t="s">
        <v>75</v>
      </c>
      <c r="O12" s="2">
        <v>21923</v>
      </c>
      <c r="P12" s="2">
        <v>1</v>
      </c>
      <c r="Q12" s="2">
        <v>0.2</v>
      </c>
      <c r="R12" s="2">
        <v>292.31</v>
      </c>
      <c r="S12" s="2"/>
    </row>
    <row r="13" spans="1:20" x14ac:dyDescent="0.3">
      <c r="A13" s="2" t="s">
        <v>111</v>
      </c>
      <c r="B13" s="3">
        <v>45363</v>
      </c>
      <c r="C13" s="3">
        <v>45368</v>
      </c>
      <c r="D13" s="2" t="s">
        <v>52</v>
      </c>
      <c r="E13" s="2">
        <v>12</v>
      </c>
      <c r="F13" s="2" t="s">
        <v>112</v>
      </c>
      <c r="G13" s="2" t="s">
        <v>7</v>
      </c>
      <c r="H13" s="2" t="s">
        <v>21</v>
      </c>
      <c r="I13" s="2" t="s">
        <v>22</v>
      </c>
      <c r="J13" s="2" t="s">
        <v>23</v>
      </c>
      <c r="K13" s="2" t="s">
        <v>79</v>
      </c>
      <c r="L13" s="2" t="s">
        <v>73</v>
      </c>
      <c r="M13" s="2" t="s">
        <v>83</v>
      </c>
      <c r="N13" s="2" t="s">
        <v>102</v>
      </c>
      <c r="O13" s="2">
        <v>37491</v>
      </c>
      <c r="P13" s="2">
        <v>1</v>
      </c>
      <c r="Q13" s="2">
        <v>0.15</v>
      </c>
      <c r="R13" s="2">
        <v>1124.73</v>
      </c>
      <c r="S13" s="2"/>
    </row>
    <row r="14" spans="1:20" x14ac:dyDescent="0.3">
      <c r="A14" s="2" t="s">
        <v>113</v>
      </c>
      <c r="B14" s="3">
        <v>45415</v>
      </c>
      <c r="C14" s="3">
        <v>45418</v>
      </c>
      <c r="D14" s="2" t="s">
        <v>47</v>
      </c>
      <c r="E14" s="2">
        <v>13</v>
      </c>
      <c r="F14" s="2" t="s">
        <v>114</v>
      </c>
      <c r="G14" s="2" t="s">
        <v>16</v>
      </c>
      <c r="H14" s="2" t="s">
        <v>17</v>
      </c>
      <c r="I14" s="2" t="s">
        <v>18</v>
      </c>
      <c r="J14" s="2" t="s">
        <v>19</v>
      </c>
      <c r="K14" s="2" t="s">
        <v>72</v>
      </c>
      <c r="L14" s="2" t="s">
        <v>73</v>
      </c>
      <c r="M14" s="2" t="s">
        <v>74</v>
      </c>
      <c r="N14" s="2" t="s">
        <v>75</v>
      </c>
      <c r="O14" s="2">
        <v>65575</v>
      </c>
      <c r="P14" s="2">
        <v>8</v>
      </c>
      <c r="Q14" s="2">
        <v>0.1</v>
      </c>
      <c r="R14" s="2">
        <v>3060.17</v>
      </c>
      <c r="S14" s="2"/>
    </row>
    <row r="15" spans="1:20" x14ac:dyDescent="0.3">
      <c r="A15" s="2" t="s">
        <v>115</v>
      </c>
      <c r="B15" s="3">
        <v>45409</v>
      </c>
      <c r="C15" s="3">
        <v>45413</v>
      </c>
      <c r="D15" s="2" t="s">
        <v>55</v>
      </c>
      <c r="E15" s="2">
        <v>14</v>
      </c>
      <c r="F15" s="2" t="s">
        <v>116</v>
      </c>
      <c r="G15" s="2" t="s">
        <v>7</v>
      </c>
      <c r="H15" s="2" t="s">
        <v>12</v>
      </c>
      <c r="I15" s="2" t="s">
        <v>13</v>
      </c>
      <c r="J15" s="2" t="s">
        <v>14</v>
      </c>
      <c r="K15" s="2" t="s">
        <v>64</v>
      </c>
      <c r="L15" s="2" t="s">
        <v>65</v>
      </c>
      <c r="M15" s="2" t="s">
        <v>66</v>
      </c>
      <c r="N15" s="2" t="s">
        <v>67</v>
      </c>
      <c r="O15" s="2">
        <v>32385</v>
      </c>
      <c r="P15" s="2">
        <v>8</v>
      </c>
      <c r="Q15" s="2">
        <v>0.2</v>
      </c>
      <c r="R15" s="2">
        <v>431.8</v>
      </c>
      <c r="S15" s="2"/>
    </row>
    <row r="16" spans="1:20" x14ac:dyDescent="0.3">
      <c r="A16" s="2" t="s">
        <v>117</v>
      </c>
      <c r="B16" s="3">
        <v>45465</v>
      </c>
      <c r="C16" s="3">
        <v>45467</v>
      </c>
      <c r="D16" s="2" t="s">
        <v>49</v>
      </c>
      <c r="E16" s="2">
        <v>15</v>
      </c>
      <c r="F16" s="2" t="s">
        <v>118</v>
      </c>
      <c r="G16" s="2" t="s">
        <v>11</v>
      </c>
      <c r="H16" s="2" t="s">
        <v>12</v>
      </c>
      <c r="I16" s="2" t="s">
        <v>28</v>
      </c>
      <c r="J16" s="2" t="s">
        <v>29</v>
      </c>
      <c r="K16" s="2" t="s">
        <v>76</v>
      </c>
      <c r="L16" s="2" t="s">
        <v>69</v>
      </c>
      <c r="M16" s="2" t="s">
        <v>80</v>
      </c>
      <c r="N16" s="2" t="s">
        <v>81</v>
      </c>
      <c r="O16" s="2">
        <v>12736</v>
      </c>
      <c r="P16" s="2">
        <v>8</v>
      </c>
      <c r="Q16" s="2">
        <v>0.1</v>
      </c>
      <c r="R16" s="2">
        <v>594.35</v>
      </c>
      <c r="S16" s="2"/>
    </row>
    <row r="17" spans="1:19" x14ac:dyDescent="0.3">
      <c r="A17" s="2" t="s">
        <v>119</v>
      </c>
      <c r="B17" s="3">
        <v>45354</v>
      </c>
      <c r="C17" s="3">
        <v>45357</v>
      </c>
      <c r="D17" s="2" t="s">
        <v>55</v>
      </c>
      <c r="E17" s="2">
        <v>16</v>
      </c>
      <c r="F17" s="2" t="s">
        <v>120</v>
      </c>
      <c r="G17" s="2" t="s">
        <v>7</v>
      </c>
      <c r="H17" s="2" t="s">
        <v>8</v>
      </c>
      <c r="I17" s="2" t="s">
        <v>9</v>
      </c>
      <c r="J17" s="2" t="s">
        <v>9</v>
      </c>
      <c r="K17" s="2" t="s">
        <v>72</v>
      </c>
      <c r="L17" s="2" t="s">
        <v>73</v>
      </c>
      <c r="M17" s="2" t="s">
        <v>74</v>
      </c>
      <c r="N17" s="2" t="s">
        <v>75</v>
      </c>
      <c r="O17" s="2">
        <v>44731</v>
      </c>
      <c r="P17" s="2">
        <v>8</v>
      </c>
      <c r="Q17" s="2">
        <v>0.2</v>
      </c>
      <c r="R17" s="2">
        <v>596.41</v>
      </c>
      <c r="S17" s="2"/>
    </row>
    <row r="18" spans="1:19" x14ac:dyDescent="0.3">
      <c r="A18" s="2" t="s">
        <v>121</v>
      </c>
      <c r="B18" s="3">
        <v>45326</v>
      </c>
      <c r="C18" s="3">
        <v>45330</v>
      </c>
      <c r="D18" s="2" t="s">
        <v>52</v>
      </c>
      <c r="E18" s="2">
        <v>17</v>
      </c>
      <c r="F18" s="2" t="s">
        <v>122</v>
      </c>
      <c r="G18" s="2" t="s">
        <v>16</v>
      </c>
      <c r="H18" s="2" t="s">
        <v>12</v>
      </c>
      <c r="I18" s="2" t="s">
        <v>13</v>
      </c>
      <c r="J18" s="2" t="s">
        <v>14</v>
      </c>
      <c r="K18" s="2" t="s">
        <v>79</v>
      </c>
      <c r="L18" s="2" t="s">
        <v>73</v>
      </c>
      <c r="M18" s="2" t="s">
        <v>83</v>
      </c>
      <c r="N18" s="2" t="s">
        <v>102</v>
      </c>
      <c r="O18" s="2">
        <v>20133</v>
      </c>
      <c r="P18" s="2">
        <v>5</v>
      </c>
      <c r="Q18" s="2">
        <v>0.2</v>
      </c>
      <c r="R18" s="2">
        <v>268.44</v>
      </c>
      <c r="S18" s="2"/>
    </row>
    <row r="19" spans="1:19" x14ac:dyDescent="0.3">
      <c r="A19" s="2" t="s">
        <v>123</v>
      </c>
      <c r="B19" s="3">
        <v>45438</v>
      </c>
      <c r="C19" s="3">
        <v>45441</v>
      </c>
      <c r="D19" s="2" t="s">
        <v>55</v>
      </c>
      <c r="E19" s="2">
        <v>18</v>
      </c>
      <c r="F19" s="2" t="s">
        <v>124</v>
      </c>
      <c r="G19" s="2" t="s">
        <v>16</v>
      </c>
      <c r="H19" s="2" t="s">
        <v>8</v>
      </c>
      <c r="I19" s="2" t="s">
        <v>9</v>
      </c>
      <c r="J19" s="2" t="s">
        <v>9</v>
      </c>
      <c r="K19" s="2" t="s">
        <v>68</v>
      </c>
      <c r="L19" s="2" t="s">
        <v>69</v>
      </c>
      <c r="M19" s="2" t="s">
        <v>70</v>
      </c>
      <c r="N19" s="2" t="s">
        <v>71</v>
      </c>
      <c r="O19" s="2">
        <v>32550</v>
      </c>
      <c r="P19" s="2">
        <v>9</v>
      </c>
      <c r="Q19" s="2">
        <v>0.2</v>
      </c>
      <c r="R19" s="2">
        <v>434</v>
      </c>
      <c r="S19" s="2"/>
    </row>
    <row r="20" spans="1:19" x14ac:dyDescent="0.3">
      <c r="A20" s="2" t="s">
        <v>125</v>
      </c>
      <c r="B20" s="3">
        <v>45424</v>
      </c>
      <c r="C20" s="3">
        <v>45429</v>
      </c>
      <c r="D20" s="2" t="s">
        <v>49</v>
      </c>
      <c r="E20" s="2">
        <v>19</v>
      </c>
      <c r="F20" s="2" t="s">
        <v>126</v>
      </c>
      <c r="G20" s="2" t="s">
        <v>16</v>
      </c>
      <c r="H20" s="2" t="s">
        <v>8</v>
      </c>
      <c r="I20" s="2" t="s">
        <v>9</v>
      </c>
      <c r="J20" s="2" t="s">
        <v>9</v>
      </c>
      <c r="K20" s="2" t="s">
        <v>72</v>
      </c>
      <c r="L20" s="2" t="s">
        <v>73</v>
      </c>
      <c r="M20" s="2" t="s">
        <v>74</v>
      </c>
      <c r="N20" s="2" t="s">
        <v>75</v>
      </c>
      <c r="O20" s="2">
        <v>34522</v>
      </c>
      <c r="P20" s="2">
        <v>10</v>
      </c>
      <c r="Q20" s="2">
        <v>0.1</v>
      </c>
      <c r="R20" s="2">
        <v>1611.03</v>
      </c>
      <c r="S20" s="2"/>
    </row>
    <row r="21" spans="1:19" x14ac:dyDescent="0.3">
      <c r="A21" s="2" t="s">
        <v>127</v>
      </c>
      <c r="B21" s="3">
        <v>45470</v>
      </c>
      <c r="C21" s="3">
        <v>45473</v>
      </c>
      <c r="D21" s="2" t="s">
        <v>55</v>
      </c>
      <c r="E21" s="2">
        <v>20</v>
      </c>
      <c r="F21" s="2" t="s">
        <v>120</v>
      </c>
      <c r="G21" s="2" t="s">
        <v>7</v>
      </c>
      <c r="H21" s="2" t="s">
        <v>8</v>
      </c>
      <c r="I21" s="2" t="s">
        <v>40</v>
      </c>
      <c r="J21" s="2" t="s">
        <v>41</v>
      </c>
      <c r="K21" s="2" t="s">
        <v>76</v>
      </c>
      <c r="L21" s="2" t="s">
        <v>69</v>
      </c>
      <c r="M21" s="2" t="s">
        <v>80</v>
      </c>
      <c r="N21" s="2" t="s">
        <v>81</v>
      </c>
      <c r="O21" s="2">
        <v>28384</v>
      </c>
      <c r="P21" s="2">
        <v>9</v>
      </c>
      <c r="Q21" s="2">
        <v>0.2</v>
      </c>
      <c r="R21" s="2">
        <v>378.45</v>
      </c>
      <c r="S21" s="2"/>
    </row>
    <row r="22" spans="1:19" x14ac:dyDescent="0.3">
      <c r="A22" s="2" t="s">
        <v>128</v>
      </c>
      <c r="B22" s="3">
        <v>45369</v>
      </c>
      <c r="C22" s="3">
        <v>45371</v>
      </c>
      <c r="D22" s="2" t="s">
        <v>55</v>
      </c>
      <c r="E22" s="2">
        <v>21</v>
      </c>
      <c r="F22" s="2" t="s">
        <v>104</v>
      </c>
      <c r="G22" s="2" t="s">
        <v>7</v>
      </c>
      <c r="H22" s="2" t="s">
        <v>21</v>
      </c>
      <c r="I22" s="2" t="s">
        <v>22</v>
      </c>
      <c r="J22" s="2" t="s">
        <v>23</v>
      </c>
      <c r="K22" s="2" t="s">
        <v>68</v>
      </c>
      <c r="L22" s="2" t="s">
        <v>69</v>
      </c>
      <c r="M22" s="2" t="s">
        <v>70</v>
      </c>
      <c r="N22" s="2" t="s">
        <v>71</v>
      </c>
      <c r="O22" s="2">
        <v>55812</v>
      </c>
      <c r="P22" s="2">
        <v>5</v>
      </c>
      <c r="Q22" s="2">
        <v>0.05</v>
      </c>
      <c r="R22" s="2">
        <v>3534.76</v>
      </c>
      <c r="S22" s="2"/>
    </row>
    <row r="23" spans="1:19" x14ac:dyDescent="0.3">
      <c r="A23" s="2" t="s">
        <v>129</v>
      </c>
      <c r="B23" s="3">
        <v>45430</v>
      </c>
      <c r="C23" s="3">
        <v>45435</v>
      </c>
      <c r="D23" s="2" t="s">
        <v>52</v>
      </c>
      <c r="E23" s="2">
        <v>22</v>
      </c>
      <c r="F23" s="2" t="s">
        <v>116</v>
      </c>
      <c r="G23" s="2" t="s">
        <v>7</v>
      </c>
      <c r="H23" s="2" t="s">
        <v>21</v>
      </c>
      <c r="I23" s="2" t="s">
        <v>22</v>
      </c>
      <c r="J23" s="2" t="s">
        <v>23</v>
      </c>
      <c r="K23" s="2" t="s">
        <v>64</v>
      </c>
      <c r="L23" s="2" t="s">
        <v>65</v>
      </c>
      <c r="M23" s="2" t="s">
        <v>66</v>
      </c>
      <c r="N23" s="2" t="s">
        <v>67</v>
      </c>
      <c r="O23" s="2">
        <v>55322</v>
      </c>
      <c r="P23" s="2">
        <v>4</v>
      </c>
      <c r="Q23" s="2">
        <v>0.15</v>
      </c>
      <c r="R23" s="2">
        <v>1659.66</v>
      </c>
      <c r="S23" s="2"/>
    </row>
    <row r="24" spans="1:19" x14ac:dyDescent="0.3">
      <c r="A24" s="2" t="s">
        <v>130</v>
      </c>
      <c r="B24" s="3">
        <v>45300</v>
      </c>
      <c r="C24" s="3">
        <v>45301</v>
      </c>
      <c r="D24" s="2" t="s">
        <v>49</v>
      </c>
      <c r="E24" s="2">
        <v>23</v>
      </c>
      <c r="F24" s="2" t="s">
        <v>131</v>
      </c>
      <c r="G24" s="2" t="s">
        <v>7</v>
      </c>
      <c r="H24" s="2" t="s">
        <v>17</v>
      </c>
      <c r="I24" s="2" t="s">
        <v>18</v>
      </c>
      <c r="J24" s="2" t="s">
        <v>19</v>
      </c>
      <c r="K24" s="2" t="s">
        <v>76</v>
      </c>
      <c r="L24" s="2" t="s">
        <v>69</v>
      </c>
      <c r="M24" s="2" t="s">
        <v>80</v>
      </c>
      <c r="N24" s="2" t="s">
        <v>81</v>
      </c>
      <c r="O24" s="2">
        <v>11747</v>
      </c>
      <c r="P24" s="2">
        <v>5</v>
      </c>
      <c r="Q24" s="2">
        <v>0.2</v>
      </c>
      <c r="R24" s="2">
        <v>156.63</v>
      </c>
      <c r="S24" s="2"/>
    </row>
    <row r="25" spans="1:19" x14ac:dyDescent="0.3">
      <c r="A25" s="2" t="s">
        <v>132</v>
      </c>
      <c r="B25" s="3">
        <v>45327</v>
      </c>
      <c r="C25" s="3">
        <v>45330</v>
      </c>
      <c r="D25" s="2" t="s">
        <v>55</v>
      </c>
      <c r="E25" s="2">
        <v>24</v>
      </c>
      <c r="F25" s="2" t="s">
        <v>108</v>
      </c>
      <c r="G25" s="2" t="s">
        <v>16</v>
      </c>
      <c r="H25" s="2" t="s">
        <v>8</v>
      </c>
      <c r="I25" s="2" t="s">
        <v>9</v>
      </c>
      <c r="J25" s="2" t="s">
        <v>9</v>
      </c>
      <c r="K25" s="2" t="s">
        <v>72</v>
      </c>
      <c r="L25" s="2" t="s">
        <v>73</v>
      </c>
      <c r="M25" s="2" t="s">
        <v>74</v>
      </c>
      <c r="N25" s="2" t="s">
        <v>75</v>
      </c>
      <c r="O25" s="2">
        <v>31219</v>
      </c>
      <c r="P25" s="2">
        <v>10</v>
      </c>
      <c r="Q25" s="2">
        <v>0.05</v>
      </c>
      <c r="R25" s="2">
        <v>1977.2</v>
      </c>
      <c r="S25" s="2"/>
    </row>
    <row r="26" spans="1:19" x14ac:dyDescent="0.3">
      <c r="A26" s="2" t="s">
        <v>133</v>
      </c>
      <c r="B26" s="3">
        <v>45419</v>
      </c>
      <c r="C26" s="3">
        <v>45421</v>
      </c>
      <c r="D26" s="2" t="s">
        <v>55</v>
      </c>
      <c r="E26" s="2">
        <v>25</v>
      </c>
      <c r="F26" s="2" t="s">
        <v>134</v>
      </c>
      <c r="G26" s="2" t="s">
        <v>7</v>
      </c>
      <c r="H26" s="2" t="s">
        <v>8</v>
      </c>
      <c r="I26" s="2" t="s">
        <v>9</v>
      </c>
      <c r="J26" s="2" t="s">
        <v>9</v>
      </c>
      <c r="K26" s="2" t="s">
        <v>68</v>
      </c>
      <c r="L26" s="2" t="s">
        <v>69</v>
      </c>
      <c r="M26" s="2" t="s">
        <v>70</v>
      </c>
      <c r="N26" s="2" t="s">
        <v>71</v>
      </c>
      <c r="O26" s="2">
        <v>2206</v>
      </c>
      <c r="P26" s="2">
        <v>2</v>
      </c>
      <c r="Q26" s="2">
        <v>0</v>
      </c>
      <c r="R26" s="2">
        <v>176.48</v>
      </c>
      <c r="S26" s="2"/>
    </row>
    <row r="27" spans="1:19" x14ac:dyDescent="0.3">
      <c r="A27" s="2" t="s">
        <v>135</v>
      </c>
      <c r="B27" s="3">
        <v>45353</v>
      </c>
      <c r="C27" s="3">
        <v>45354</v>
      </c>
      <c r="D27" s="2" t="s">
        <v>49</v>
      </c>
      <c r="E27" s="2">
        <v>26</v>
      </c>
      <c r="F27" s="2" t="s">
        <v>136</v>
      </c>
      <c r="G27" s="2" t="s">
        <v>7</v>
      </c>
      <c r="H27" s="2" t="s">
        <v>17</v>
      </c>
      <c r="I27" s="2" t="s">
        <v>18</v>
      </c>
      <c r="J27" s="2" t="s">
        <v>19</v>
      </c>
      <c r="K27" s="2" t="s">
        <v>68</v>
      </c>
      <c r="L27" s="2" t="s">
        <v>69</v>
      </c>
      <c r="M27" s="2" t="s">
        <v>70</v>
      </c>
      <c r="N27" s="2" t="s">
        <v>71</v>
      </c>
      <c r="O27" s="2">
        <v>15236</v>
      </c>
      <c r="P27" s="2">
        <v>8</v>
      </c>
      <c r="Q27" s="2">
        <v>0.05</v>
      </c>
      <c r="R27" s="2">
        <v>964.95</v>
      </c>
      <c r="S27" s="2"/>
    </row>
    <row r="28" spans="1:19" x14ac:dyDescent="0.3">
      <c r="A28" s="2" t="s">
        <v>137</v>
      </c>
      <c r="B28" s="3">
        <v>45332</v>
      </c>
      <c r="C28" s="3">
        <v>45334</v>
      </c>
      <c r="D28" s="2" t="s">
        <v>55</v>
      </c>
      <c r="E28" s="2">
        <v>27</v>
      </c>
      <c r="F28" s="2" t="s">
        <v>138</v>
      </c>
      <c r="G28" s="2" t="s">
        <v>16</v>
      </c>
      <c r="H28" s="2" t="s">
        <v>8</v>
      </c>
      <c r="I28" s="2" t="s">
        <v>40</v>
      </c>
      <c r="J28" s="2" t="s">
        <v>41</v>
      </c>
      <c r="K28" s="2" t="s">
        <v>76</v>
      </c>
      <c r="L28" s="2" t="s">
        <v>69</v>
      </c>
      <c r="M28" s="2" t="s">
        <v>80</v>
      </c>
      <c r="N28" s="2" t="s">
        <v>81</v>
      </c>
      <c r="O28" s="2">
        <v>69476</v>
      </c>
      <c r="P28" s="2">
        <v>4</v>
      </c>
      <c r="Q28" s="2">
        <v>0.1</v>
      </c>
      <c r="R28" s="2">
        <v>3242.21</v>
      </c>
      <c r="S28" s="2"/>
    </row>
    <row r="29" spans="1:19" x14ac:dyDescent="0.3">
      <c r="A29" s="2" t="s">
        <v>139</v>
      </c>
      <c r="B29" s="3">
        <v>45465</v>
      </c>
      <c r="C29" s="3">
        <v>45468</v>
      </c>
      <c r="D29" s="2" t="s">
        <v>49</v>
      </c>
      <c r="E29" s="2">
        <v>28</v>
      </c>
      <c r="F29" s="2" t="s">
        <v>104</v>
      </c>
      <c r="G29" s="2" t="s">
        <v>16</v>
      </c>
      <c r="H29" s="2" t="s">
        <v>12</v>
      </c>
      <c r="I29" s="2" t="s">
        <v>13</v>
      </c>
      <c r="J29" s="2" t="s">
        <v>14</v>
      </c>
      <c r="K29" s="2" t="s">
        <v>79</v>
      </c>
      <c r="L29" s="2" t="s">
        <v>73</v>
      </c>
      <c r="M29" s="2" t="s">
        <v>83</v>
      </c>
      <c r="N29" s="2" t="s">
        <v>102</v>
      </c>
      <c r="O29" s="2">
        <v>34753</v>
      </c>
      <c r="P29" s="2">
        <v>5</v>
      </c>
      <c r="Q29" s="2">
        <v>0.15</v>
      </c>
      <c r="R29" s="2">
        <v>1042.5899999999999</v>
      </c>
      <c r="S29" s="2"/>
    </row>
    <row r="30" spans="1:19" x14ac:dyDescent="0.3">
      <c r="A30" s="2" t="s">
        <v>140</v>
      </c>
      <c r="B30" s="3">
        <v>45385</v>
      </c>
      <c r="C30" s="3">
        <v>45389</v>
      </c>
      <c r="D30" s="2" t="s">
        <v>47</v>
      </c>
      <c r="E30" s="2">
        <v>29</v>
      </c>
      <c r="F30" s="2" t="s">
        <v>108</v>
      </c>
      <c r="G30" s="2" t="s">
        <v>7</v>
      </c>
      <c r="H30" s="2" t="s">
        <v>8</v>
      </c>
      <c r="I30" s="2" t="s">
        <v>40</v>
      </c>
      <c r="J30" s="2" t="s">
        <v>41</v>
      </c>
      <c r="K30" s="2" t="s">
        <v>76</v>
      </c>
      <c r="L30" s="2" t="s">
        <v>69</v>
      </c>
      <c r="M30" s="2" t="s">
        <v>80</v>
      </c>
      <c r="N30" s="2" t="s">
        <v>81</v>
      </c>
      <c r="O30" s="2">
        <v>26822</v>
      </c>
      <c r="P30" s="2">
        <v>1</v>
      </c>
      <c r="Q30" s="2">
        <v>0.05</v>
      </c>
      <c r="R30" s="2">
        <v>1698.73</v>
      </c>
    </row>
    <row r="31" spans="1:19" x14ac:dyDescent="0.3">
      <c r="A31" s="2" t="s">
        <v>141</v>
      </c>
      <c r="B31" s="3">
        <v>45307</v>
      </c>
      <c r="C31" s="3">
        <v>45309</v>
      </c>
      <c r="D31" s="2" t="s">
        <v>52</v>
      </c>
      <c r="E31" s="2">
        <v>30</v>
      </c>
      <c r="F31" s="2" t="s">
        <v>142</v>
      </c>
      <c r="G31" s="2" t="s">
        <v>11</v>
      </c>
      <c r="H31" s="2" t="s">
        <v>21</v>
      </c>
      <c r="I31" s="2" t="s">
        <v>22</v>
      </c>
      <c r="J31" s="2" t="s">
        <v>23</v>
      </c>
      <c r="K31" s="2" t="s">
        <v>72</v>
      </c>
      <c r="L31" s="2" t="s">
        <v>73</v>
      </c>
      <c r="M31" s="2" t="s">
        <v>74</v>
      </c>
      <c r="N31" s="2" t="s">
        <v>75</v>
      </c>
      <c r="O31" s="2">
        <v>42293</v>
      </c>
      <c r="P31" s="2">
        <v>7</v>
      </c>
      <c r="Q31" s="2">
        <v>0.2</v>
      </c>
      <c r="R31" s="2">
        <v>563.91</v>
      </c>
    </row>
    <row r="32" spans="1:19" x14ac:dyDescent="0.3">
      <c r="A32" s="2" t="s">
        <v>143</v>
      </c>
      <c r="B32" s="3">
        <v>45376</v>
      </c>
      <c r="C32" s="3">
        <v>45380</v>
      </c>
      <c r="D32" s="2" t="s">
        <v>49</v>
      </c>
      <c r="E32" s="2">
        <v>31</v>
      </c>
      <c r="F32" s="2" t="s">
        <v>108</v>
      </c>
      <c r="G32" s="2" t="s">
        <v>16</v>
      </c>
      <c r="H32" s="2" t="s">
        <v>8</v>
      </c>
      <c r="I32" s="2" t="s">
        <v>9</v>
      </c>
      <c r="J32" s="2" t="s">
        <v>9</v>
      </c>
      <c r="K32" s="2" t="s">
        <v>76</v>
      </c>
      <c r="L32" s="2" t="s">
        <v>69</v>
      </c>
      <c r="M32" s="2" t="s">
        <v>80</v>
      </c>
      <c r="N32" s="2" t="s">
        <v>81</v>
      </c>
      <c r="O32" s="2">
        <v>21860</v>
      </c>
      <c r="P32" s="2">
        <v>5</v>
      </c>
      <c r="Q32" s="2">
        <v>0</v>
      </c>
      <c r="R32" s="2">
        <v>1748.8</v>
      </c>
    </row>
    <row r="33" spans="1:18" x14ac:dyDescent="0.3">
      <c r="A33" s="2" t="s">
        <v>144</v>
      </c>
      <c r="B33" s="3">
        <v>45325</v>
      </c>
      <c r="C33" s="3">
        <v>45327</v>
      </c>
      <c r="D33" s="2" t="s">
        <v>55</v>
      </c>
      <c r="E33" s="2">
        <v>32</v>
      </c>
      <c r="F33" s="2" t="s">
        <v>145</v>
      </c>
      <c r="G33" s="2" t="s">
        <v>11</v>
      </c>
      <c r="H33" s="2" t="s">
        <v>8</v>
      </c>
      <c r="I33" s="2" t="s">
        <v>9</v>
      </c>
      <c r="J33" s="2" t="s">
        <v>9</v>
      </c>
      <c r="K33" s="2" t="s">
        <v>68</v>
      </c>
      <c r="L33" s="2" t="s">
        <v>69</v>
      </c>
      <c r="M33" s="2" t="s">
        <v>70</v>
      </c>
      <c r="N33" s="2" t="s">
        <v>71</v>
      </c>
      <c r="O33" s="2">
        <v>66825</v>
      </c>
      <c r="P33" s="2">
        <v>1</v>
      </c>
      <c r="Q33" s="2">
        <v>0.05</v>
      </c>
      <c r="R33" s="2">
        <v>4232.25</v>
      </c>
    </row>
    <row r="34" spans="1:18" x14ac:dyDescent="0.3">
      <c r="A34" s="2" t="s">
        <v>146</v>
      </c>
      <c r="B34" s="3">
        <v>45331</v>
      </c>
      <c r="C34" s="3">
        <v>45333</v>
      </c>
      <c r="D34" s="2" t="s">
        <v>55</v>
      </c>
      <c r="E34" s="2">
        <v>33</v>
      </c>
      <c r="F34" s="2" t="s">
        <v>147</v>
      </c>
      <c r="G34" s="2" t="s">
        <v>11</v>
      </c>
      <c r="H34" s="2" t="s">
        <v>8</v>
      </c>
      <c r="I34" s="2" t="s">
        <v>9</v>
      </c>
      <c r="J34" s="2" t="s">
        <v>9</v>
      </c>
      <c r="K34" s="2" t="s">
        <v>76</v>
      </c>
      <c r="L34" s="2" t="s">
        <v>69</v>
      </c>
      <c r="M34" s="2" t="s">
        <v>80</v>
      </c>
      <c r="N34" s="2" t="s">
        <v>81</v>
      </c>
      <c r="O34" s="2">
        <v>65436</v>
      </c>
      <c r="P34" s="2">
        <v>6</v>
      </c>
      <c r="Q34" s="2">
        <v>0.2</v>
      </c>
      <c r="R34" s="2">
        <v>872.48</v>
      </c>
    </row>
    <row r="35" spans="1:18" x14ac:dyDescent="0.3">
      <c r="A35" s="2" t="s">
        <v>148</v>
      </c>
      <c r="B35" s="3">
        <v>45425</v>
      </c>
      <c r="C35" s="3">
        <v>45427</v>
      </c>
      <c r="D35" s="2" t="s">
        <v>52</v>
      </c>
      <c r="E35" s="2">
        <v>34</v>
      </c>
      <c r="F35" s="2" t="s">
        <v>124</v>
      </c>
      <c r="G35" s="2" t="s">
        <v>7</v>
      </c>
      <c r="H35" s="2" t="s">
        <v>12</v>
      </c>
      <c r="I35" s="2" t="s">
        <v>28</v>
      </c>
      <c r="J35" s="2" t="s">
        <v>29</v>
      </c>
      <c r="K35" s="2" t="s">
        <v>68</v>
      </c>
      <c r="L35" s="2" t="s">
        <v>69</v>
      </c>
      <c r="M35" s="2" t="s">
        <v>70</v>
      </c>
      <c r="N35" s="2" t="s">
        <v>71</v>
      </c>
      <c r="O35" s="2">
        <v>13023</v>
      </c>
      <c r="P35" s="2">
        <v>8</v>
      </c>
      <c r="Q35" s="2">
        <v>0</v>
      </c>
      <c r="R35" s="2">
        <v>1041.8399999999999</v>
      </c>
    </row>
    <row r="36" spans="1:18" x14ac:dyDescent="0.3">
      <c r="A36" s="2" t="s">
        <v>149</v>
      </c>
      <c r="B36" s="3">
        <v>45382</v>
      </c>
      <c r="C36" s="3">
        <v>45383</v>
      </c>
      <c r="D36" s="2" t="s">
        <v>52</v>
      </c>
      <c r="E36" s="2">
        <v>35</v>
      </c>
      <c r="F36" s="2" t="s">
        <v>103</v>
      </c>
      <c r="G36" s="2" t="s">
        <v>11</v>
      </c>
      <c r="H36" s="2" t="s">
        <v>17</v>
      </c>
      <c r="I36" s="2" t="s">
        <v>18</v>
      </c>
      <c r="J36" s="2" t="s">
        <v>19</v>
      </c>
      <c r="K36" s="2" t="s">
        <v>76</v>
      </c>
      <c r="L36" s="2" t="s">
        <v>69</v>
      </c>
      <c r="M36" s="2" t="s">
        <v>80</v>
      </c>
      <c r="N36" s="2" t="s">
        <v>81</v>
      </c>
      <c r="O36" s="2">
        <v>1024</v>
      </c>
      <c r="P36" s="2">
        <v>9</v>
      </c>
      <c r="Q36" s="2">
        <v>0.1</v>
      </c>
      <c r="R36" s="2">
        <v>47.79</v>
      </c>
    </row>
    <row r="37" spans="1:18" x14ac:dyDescent="0.3">
      <c r="A37" s="2" t="s">
        <v>150</v>
      </c>
      <c r="B37" s="3">
        <v>45309</v>
      </c>
      <c r="C37" s="3">
        <v>45310</v>
      </c>
      <c r="D37" s="2" t="s">
        <v>52</v>
      </c>
      <c r="E37" s="2">
        <v>36</v>
      </c>
      <c r="F37" s="2" t="s">
        <v>151</v>
      </c>
      <c r="G37" s="2" t="s">
        <v>11</v>
      </c>
      <c r="H37" s="2" t="s">
        <v>8</v>
      </c>
      <c r="I37" s="2" t="s">
        <v>40</v>
      </c>
      <c r="J37" s="2" t="s">
        <v>41</v>
      </c>
      <c r="K37" s="2" t="s">
        <v>76</v>
      </c>
      <c r="L37" s="2" t="s">
        <v>69</v>
      </c>
      <c r="M37" s="2" t="s">
        <v>80</v>
      </c>
      <c r="N37" s="2" t="s">
        <v>81</v>
      </c>
      <c r="O37" s="2">
        <v>66002</v>
      </c>
      <c r="P37" s="2">
        <v>3</v>
      </c>
      <c r="Q37" s="2">
        <v>0.05</v>
      </c>
      <c r="R37" s="2">
        <v>4180.13</v>
      </c>
    </row>
    <row r="38" spans="1:18" x14ac:dyDescent="0.3">
      <c r="A38" s="2" t="s">
        <v>152</v>
      </c>
      <c r="B38" s="3">
        <v>45450</v>
      </c>
      <c r="C38" s="3">
        <v>45454</v>
      </c>
      <c r="D38" s="2" t="s">
        <v>47</v>
      </c>
      <c r="E38" s="2">
        <v>37</v>
      </c>
      <c r="F38" s="2" t="s">
        <v>153</v>
      </c>
      <c r="G38" s="2" t="s">
        <v>11</v>
      </c>
      <c r="H38" s="2" t="s">
        <v>12</v>
      </c>
      <c r="I38" s="2" t="s">
        <v>28</v>
      </c>
      <c r="J38" s="2" t="s">
        <v>29</v>
      </c>
      <c r="K38" s="2" t="s">
        <v>76</v>
      </c>
      <c r="L38" s="2" t="s">
        <v>69</v>
      </c>
      <c r="M38" s="2" t="s">
        <v>80</v>
      </c>
      <c r="N38" s="2" t="s">
        <v>81</v>
      </c>
      <c r="O38" s="2">
        <v>50405</v>
      </c>
      <c r="P38" s="2">
        <v>5</v>
      </c>
      <c r="Q38" s="2">
        <v>0.1</v>
      </c>
      <c r="R38" s="2">
        <v>2352.23</v>
      </c>
    </row>
    <row r="39" spans="1:18" x14ac:dyDescent="0.3">
      <c r="A39" s="2" t="s">
        <v>154</v>
      </c>
      <c r="B39" s="3">
        <v>45310</v>
      </c>
      <c r="C39" s="3">
        <v>45311</v>
      </c>
      <c r="D39" s="2" t="s">
        <v>52</v>
      </c>
      <c r="E39" s="2">
        <v>38</v>
      </c>
      <c r="F39" s="2" t="s">
        <v>110</v>
      </c>
      <c r="G39" s="2" t="s">
        <v>16</v>
      </c>
      <c r="H39" s="2" t="s">
        <v>8</v>
      </c>
      <c r="I39" s="2" t="s">
        <v>40</v>
      </c>
      <c r="J39" s="2" t="s">
        <v>41</v>
      </c>
      <c r="K39" s="2" t="s">
        <v>64</v>
      </c>
      <c r="L39" s="2" t="s">
        <v>65</v>
      </c>
      <c r="M39" s="2" t="s">
        <v>66</v>
      </c>
      <c r="N39" s="2" t="s">
        <v>67</v>
      </c>
      <c r="O39" s="2">
        <v>64840</v>
      </c>
      <c r="P39" s="2">
        <v>8</v>
      </c>
      <c r="Q39" s="2">
        <v>0.15</v>
      </c>
      <c r="R39" s="2">
        <v>1945.2</v>
      </c>
    </row>
    <row r="40" spans="1:18" x14ac:dyDescent="0.3">
      <c r="A40" s="2" t="s">
        <v>155</v>
      </c>
      <c r="B40" s="3">
        <v>45457</v>
      </c>
      <c r="C40" s="3">
        <v>45460</v>
      </c>
      <c r="D40" s="2" t="s">
        <v>55</v>
      </c>
      <c r="E40" s="2">
        <v>39</v>
      </c>
      <c r="F40" s="2" t="s">
        <v>101</v>
      </c>
      <c r="G40" s="2" t="s">
        <v>7</v>
      </c>
      <c r="H40" s="2" t="s">
        <v>8</v>
      </c>
      <c r="I40" s="2" t="s">
        <v>9</v>
      </c>
      <c r="J40" s="2" t="s">
        <v>9</v>
      </c>
      <c r="K40" s="2" t="s">
        <v>72</v>
      </c>
      <c r="L40" s="2" t="s">
        <v>73</v>
      </c>
      <c r="M40" s="2" t="s">
        <v>74</v>
      </c>
      <c r="N40" s="2" t="s">
        <v>75</v>
      </c>
      <c r="O40" s="2">
        <v>65801</v>
      </c>
      <c r="P40" s="2">
        <v>3</v>
      </c>
      <c r="Q40" s="2">
        <v>0.2</v>
      </c>
      <c r="R40" s="2">
        <v>877.35</v>
      </c>
    </row>
    <row r="41" spans="1:18" x14ac:dyDescent="0.3">
      <c r="A41" s="2" t="s">
        <v>156</v>
      </c>
      <c r="B41" s="3">
        <v>45454</v>
      </c>
      <c r="C41" s="3">
        <v>45459</v>
      </c>
      <c r="D41" s="2" t="s">
        <v>55</v>
      </c>
      <c r="E41" s="2">
        <v>40</v>
      </c>
      <c r="F41" s="2" t="s">
        <v>157</v>
      </c>
      <c r="G41" s="2" t="s">
        <v>7</v>
      </c>
      <c r="H41" s="2" t="s">
        <v>8</v>
      </c>
      <c r="I41" s="2" t="s">
        <v>9</v>
      </c>
      <c r="J41" s="2" t="s">
        <v>9</v>
      </c>
      <c r="K41" s="2" t="s">
        <v>64</v>
      </c>
      <c r="L41" s="2" t="s">
        <v>65</v>
      </c>
      <c r="M41" s="2" t="s">
        <v>66</v>
      </c>
      <c r="N41" s="2" t="s">
        <v>67</v>
      </c>
      <c r="O41" s="2">
        <v>55105</v>
      </c>
      <c r="P41" s="2">
        <v>8</v>
      </c>
      <c r="Q41" s="2">
        <v>0.1</v>
      </c>
      <c r="R41" s="2">
        <v>2571.5700000000002</v>
      </c>
    </row>
    <row r="42" spans="1:18" x14ac:dyDescent="0.3">
      <c r="A42" s="2" t="s">
        <v>158</v>
      </c>
      <c r="B42" s="3">
        <v>45419</v>
      </c>
      <c r="C42" s="3">
        <v>45421</v>
      </c>
      <c r="D42" s="2" t="s">
        <v>49</v>
      </c>
      <c r="E42" s="2">
        <v>41</v>
      </c>
      <c r="F42" s="2" t="s">
        <v>114</v>
      </c>
      <c r="G42" s="2" t="s">
        <v>7</v>
      </c>
      <c r="H42" s="2" t="s">
        <v>8</v>
      </c>
      <c r="I42" s="2" t="s">
        <v>9</v>
      </c>
      <c r="J42" s="2" t="s">
        <v>9</v>
      </c>
      <c r="K42" s="2" t="s">
        <v>76</v>
      </c>
      <c r="L42" s="2" t="s">
        <v>69</v>
      </c>
      <c r="M42" s="2" t="s">
        <v>80</v>
      </c>
      <c r="N42" s="2" t="s">
        <v>81</v>
      </c>
      <c r="O42" s="2">
        <v>14583</v>
      </c>
      <c r="P42" s="2">
        <v>9</v>
      </c>
      <c r="Q42" s="2">
        <v>0.05</v>
      </c>
      <c r="R42" s="2">
        <v>923.59</v>
      </c>
    </row>
    <row r="43" spans="1:18" x14ac:dyDescent="0.3">
      <c r="A43" s="2" t="s">
        <v>159</v>
      </c>
      <c r="B43" s="3">
        <v>45359</v>
      </c>
      <c r="C43" s="3">
        <v>45362</v>
      </c>
      <c r="D43" s="2" t="s">
        <v>55</v>
      </c>
      <c r="E43" s="2">
        <v>42</v>
      </c>
      <c r="F43" s="2" t="s">
        <v>107</v>
      </c>
      <c r="G43" s="2" t="s">
        <v>11</v>
      </c>
      <c r="H43" s="2" t="s">
        <v>8</v>
      </c>
      <c r="I43" s="2" t="s">
        <v>9</v>
      </c>
      <c r="J43" s="2" t="s">
        <v>9</v>
      </c>
      <c r="K43" s="2" t="s">
        <v>64</v>
      </c>
      <c r="L43" s="2" t="s">
        <v>65</v>
      </c>
      <c r="M43" s="2" t="s">
        <v>66</v>
      </c>
      <c r="N43" s="2" t="s">
        <v>67</v>
      </c>
      <c r="O43" s="2">
        <v>20089</v>
      </c>
      <c r="P43" s="2">
        <v>7</v>
      </c>
      <c r="Q43" s="2">
        <v>0.05</v>
      </c>
      <c r="R43" s="2">
        <v>1272.3</v>
      </c>
    </row>
    <row r="44" spans="1:18" x14ac:dyDescent="0.3">
      <c r="A44" s="2" t="s">
        <v>160</v>
      </c>
      <c r="B44" s="3">
        <v>45460</v>
      </c>
      <c r="C44" s="3">
        <v>45464</v>
      </c>
      <c r="D44" s="2" t="s">
        <v>52</v>
      </c>
      <c r="E44" s="2">
        <v>43</v>
      </c>
      <c r="F44" s="2" t="s">
        <v>161</v>
      </c>
      <c r="G44" s="2" t="s">
        <v>11</v>
      </c>
      <c r="H44" s="2" t="s">
        <v>21</v>
      </c>
      <c r="I44" s="2" t="s">
        <v>22</v>
      </c>
      <c r="J44" s="2" t="s">
        <v>23</v>
      </c>
      <c r="K44" s="2" t="s">
        <v>68</v>
      </c>
      <c r="L44" s="2" t="s">
        <v>69</v>
      </c>
      <c r="M44" s="2" t="s">
        <v>70</v>
      </c>
      <c r="N44" s="2" t="s">
        <v>71</v>
      </c>
      <c r="O44" s="2">
        <v>33083</v>
      </c>
      <c r="P44" s="2">
        <v>6</v>
      </c>
      <c r="Q44" s="2">
        <v>0</v>
      </c>
      <c r="R44" s="2">
        <v>2646.64</v>
      </c>
    </row>
    <row r="45" spans="1:18" x14ac:dyDescent="0.3">
      <c r="A45" s="2" t="s">
        <v>162</v>
      </c>
      <c r="B45" s="3">
        <v>45468</v>
      </c>
      <c r="C45" s="3">
        <v>45470</v>
      </c>
      <c r="D45" s="2" t="s">
        <v>49</v>
      </c>
      <c r="E45" s="2">
        <v>44</v>
      </c>
      <c r="F45" s="2" t="s">
        <v>163</v>
      </c>
      <c r="G45" s="2" t="s">
        <v>7</v>
      </c>
      <c r="H45" s="2" t="s">
        <v>17</v>
      </c>
      <c r="I45" s="2" t="s">
        <v>18</v>
      </c>
      <c r="J45" s="2" t="s">
        <v>19</v>
      </c>
      <c r="K45" s="2" t="s">
        <v>72</v>
      </c>
      <c r="L45" s="2" t="s">
        <v>73</v>
      </c>
      <c r="M45" s="2" t="s">
        <v>74</v>
      </c>
      <c r="N45" s="2" t="s">
        <v>75</v>
      </c>
      <c r="O45" s="2">
        <v>67332</v>
      </c>
      <c r="P45" s="2">
        <v>7</v>
      </c>
      <c r="Q45" s="2">
        <v>0.2</v>
      </c>
      <c r="R45" s="2">
        <v>897.76</v>
      </c>
    </row>
    <row r="46" spans="1:18" x14ac:dyDescent="0.3">
      <c r="A46" s="2" t="s">
        <v>164</v>
      </c>
      <c r="B46" s="3">
        <v>45395</v>
      </c>
      <c r="C46" s="3">
        <v>45398</v>
      </c>
      <c r="D46" s="2" t="s">
        <v>52</v>
      </c>
      <c r="E46" s="2">
        <v>45</v>
      </c>
      <c r="F46" s="2" t="s">
        <v>165</v>
      </c>
      <c r="G46" s="2" t="s">
        <v>16</v>
      </c>
      <c r="H46" s="2" t="s">
        <v>21</v>
      </c>
      <c r="I46" s="2" t="s">
        <v>22</v>
      </c>
      <c r="J46" s="2" t="s">
        <v>23</v>
      </c>
      <c r="K46" s="2" t="s">
        <v>79</v>
      </c>
      <c r="L46" s="2" t="s">
        <v>73</v>
      </c>
      <c r="M46" s="2" t="s">
        <v>83</v>
      </c>
      <c r="N46" s="2" t="s">
        <v>102</v>
      </c>
      <c r="O46" s="2">
        <v>48261</v>
      </c>
      <c r="P46" s="2">
        <v>4</v>
      </c>
      <c r="Q46" s="2">
        <v>0.1</v>
      </c>
      <c r="R46" s="2">
        <v>2252.1799999999998</v>
      </c>
    </row>
    <row r="47" spans="1:18" x14ac:dyDescent="0.3">
      <c r="A47" s="2" t="s">
        <v>166</v>
      </c>
      <c r="B47" s="3">
        <v>45421</v>
      </c>
      <c r="C47" s="3">
        <v>45425</v>
      </c>
      <c r="D47" s="2" t="s">
        <v>52</v>
      </c>
      <c r="E47" s="2">
        <v>46</v>
      </c>
      <c r="F47" s="2" t="s">
        <v>138</v>
      </c>
      <c r="G47" s="2" t="s">
        <v>16</v>
      </c>
      <c r="H47" s="2" t="s">
        <v>21</v>
      </c>
      <c r="I47" s="2" t="s">
        <v>22</v>
      </c>
      <c r="J47" s="2" t="s">
        <v>23</v>
      </c>
      <c r="K47" s="2" t="s">
        <v>72</v>
      </c>
      <c r="L47" s="2" t="s">
        <v>73</v>
      </c>
      <c r="M47" s="2" t="s">
        <v>74</v>
      </c>
      <c r="N47" s="2" t="s">
        <v>75</v>
      </c>
      <c r="O47" s="2">
        <v>6852</v>
      </c>
      <c r="P47" s="2">
        <v>1</v>
      </c>
      <c r="Q47" s="2">
        <v>0.2</v>
      </c>
      <c r="R47" s="2">
        <v>91.36</v>
      </c>
    </row>
    <row r="48" spans="1:18" x14ac:dyDescent="0.3">
      <c r="A48" s="2" t="s">
        <v>167</v>
      </c>
      <c r="B48" s="3">
        <v>45426</v>
      </c>
      <c r="C48" s="3">
        <v>45431</v>
      </c>
      <c r="D48" s="2" t="s">
        <v>49</v>
      </c>
      <c r="E48" s="2">
        <v>47</v>
      </c>
      <c r="F48" s="2" t="s">
        <v>157</v>
      </c>
      <c r="G48" s="2" t="s">
        <v>7</v>
      </c>
      <c r="H48" s="2" t="s">
        <v>21</v>
      </c>
      <c r="I48" s="2" t="s">
        <v>22</v>
      </c>
      <c r="J48" s="2" t="s">
        <v>23</v>
      </c>
      <c r="K48" s="2" t="s">
        <v>76</v>
      </c>
      <c r="L48" s="2" t="s">
        <v>69</v>
      </c>
      <c r="M48" s="2" t="s">
        <v>80</v>
      </c>
      <c r="N48" s="2" t="s">
        <v>81</v>
      </c>
      <c r="O48" s="2">
        <v>5605</v>
      </c>
      <c r="P48" s="2">
        <v>8</v>
      </c>
      <c r="Q48" s="2">
        <v>0.15</v>
      </c>
      <c r="R48" s="2">
        <v>168.15</v>
      </c>
    </row>
    <row r="49" spans="1:20" x14ac:dyDescent="0.3">
      <c r="A49" s="2" t="s">
        <v>168</v>
      </c>
      <c r="B49" s="3">
        <v>45415</v>
      </c>
      <c r="C49" s="3">
        <v>45417</v>
      </c>
      <c r="D49" s="2" t="s">
        <v>55</v>
      </c>
      <c r="E49" s="2">
        <v>48</v>
      </c>
      <c r="F49" s="2" t="s">
        <v>10</v>
      </c>
      <c r="G49" s="2" t="s">
        <v>16</v>
      </c>
      <c r="H49" s="2" t="s">
        <v>8</v>
      </c>
      <c r="I49" s="2" t="s">
        <v>9</v>
      </c>
      <c r="J49" s="2" t="s">
        <v>9</v>
      </c>
      <c r="K49" s="2" t="s">
        <v>76</v>
      </c>
      <c r="L49" s="2" t="s">
        <v>69</v>
      </c>
      <c r="M49" s="2" t="s">
        <v>80</v>
      </c>
      <c r="N49" s="2" t="s">
        <v>81</v>
      </c>
      <c r="O49" s="2">
        <v>68057</v>
      </c>
      <c r="P49" s="2">
        <v>5</v>
      </c>
      <c r="Q49" s="2">
        <v>0.05</v>
      </c>
      <c r="R49" s="2">
        <v>4310.28</v>
      </c>
    </row>
    <row r="50" spans="1:20" x14ac:dyDescent="0.3">
      <c r="A50" s="2" t="s">
        <v>169</v>
      </c>
      <c r="B50" s="3">
        <v>45325</v>
      </c>
      <c r="C50" s="3">
        <v>45330</v>
      </c>
      <c r="D50" s="2" t="s">
        <v>47</v>
      </c>
      <c r="E50" s="2">
        <v>49</v>
      </c>
      <c r="F50" s="2" t="s">
        <v>151</v>
      </c>
      <c r="G50" s="2" t="s">
        <v>16</v>
      </c>
      <c r="H50" s="2" t="s">
        <v>21</v>
      </c>
      <c r="I50" s="2" t="s">
        <v>22</v>
      </c>
      <c r="J50" s="2" t="s">
        <v>23</v>
      </c>
      <c r="K50" s="2" t="s">
        <v>72</v>
      </c>
      <c r="L50" s="2" t="s">
        <v>73</v>
      </c>
      <c r="M50" s="2" t="s">
        <v>74</v>
      </c>
      <c r="N50" s="2" t="s">
        <v>75</v>
      </c>
      <c r="O50" s="2">
        <v>33041</v>
      </c>
      <c r="P50" s="2">
        <v>9</v>
      </c>
      <c r="Q50" s="2">
        <v>0.05</v>
      </c>
      <c r="R50" s="2">
        <v>2092.6</v>
      </c>
    </row>
    <row r="51" spans="1:20" x14ac:dyDescent="0.3">
      <c r="A51" s="2" t="s">
        <v>170</v>
      </c>
      <c r="B51" s="3">
        <v>45309</v>
      </c>
      <c r="C51" s="3">
        <v>45311</v>
      </c>
      <c r="D51" s="2" t="s">
        <v>52</v>
      </c>
      <c r="E51" s="2">
        <v>50</v>
      </c>
      <c r="F51" s="2" t="s">
        <v>138</v>
      </c>
      <c r="G51" s="2" t="s">
        <v>11</v>
      </c>
      <c r="H51" s="2" t="s">
        <v>12</v>
      </c>
      <c r="I51" s="2" t="s">
        <v>13</v>
      </c>
      <c r="J51" s="2" t="s">
        <v>14</v>
      </c>
      <c r="K51" s="2" t="s">
        <v>64</v>
      </c>
      <c r="L51" s="2" t="s">
        <v>65</v>
      </c>
      <c r="M51" s="2" t="s">
        <v>66</v>
      </c>
      <c r="N51" s="2" t="s">
        <v>67</v>
      </c>
      <c r="O51" s="2">
        <v>59557</v>
      </c>
      <c r="P51" s="2">
        <v>9</v>
      </c>
      <c r="Q51" s="2">
        <v>0</v>
      </c>
      <c r="R51" s="2">
        <v>4764.5600000000004</v>
      </c>
    </row>
    <row r="52" spans="1:20" x14ac:dyDescent="0.3">
      <c r="A52" s="2" t="s">
        <v>171</v>
      </c>
      <c r="B52" s="3">
        <v>45466</v>
      </c>
      <c r="C52" s="3">
        <v>45469</v>
      </c>
      <c r="D52" s="2" t="s">
        <v>52</v>
      </c>
      <c r="E52" s="2">
        <v>51</v>
      </c>
      <c r="F52" s="2" t="s">
        <v>105</v>
      </c>
      <c r="G52" s="2" t="s">
        <v>16</v>
      </c>
      <c r="H52" s="2" t="s">
        <v>8</v>
      </c>
      <c r="I52" s="2" t="s">
        <v>40</v>
      </c>
      <c r="J52" s="2" t="s">
        <v>41</v>
      </c>
      <c r="K52" s="2" t="s">
        <v>76</v>
      </c>
      <c r="L52" s="2" t="s">
        <v>69</v>
      </c>
      <c r="M52" s="2" t="s">
        <v>80</v>
      </c>
      <c r="N52" s="2" t="s">
        <v>81</v>
      </c>
      <c r="O52" s="2">
        <v>49206</v>
      </c>
      <c r="P52" s="2">
        <v>6</v>
      </c>
      <c r="Q52" s="2">
        <v>0.05</v>
      </c>
      <c r="R52" s="2">
        <v>3116.38</v>
      </c>
    </row>
    <row r="53" spans="1:20" x14ac:dyDescent="0.3">
      <c r="A53" s="2" t="s">
        <v>172</v>
      </c>
      <c r="B53" s="3">
        <v>45312</v>
      </c>
      <c r="C53" s="3">
        <v>45316</v>
      </c>
      <c r="D53" s="2" t="s">
        <v>49</v>
      </c>
      <c r="E53" s="2">
        <v>52</v>
      </c>
      <c r="F53" s="2" t="s">
        <v>120</v>
      </c>
      <c r="G53" s="2" t="s">
        <v>16</v>
      </c>
      <c r="H53" s="2" t="s">
        <v>12</v>
      </c>
      <c r="I53" s="2" t="s">
        <v>28</v>
      </c>
      <c r="J53" s="2" t="s">
        <v>29</v>
      </c>
      <c r="K53" s="2" t="s">
        <v>72</v>
      </c>
      <c r="L53" s="2" t="s">
        <v>73</v>
      </c>
      <c r="M53" s="2" t="s">
        <v>74</v>
      </c>
      <c r="N53" s="2" t="s">
        <v>75</v>
      </c>
      <c r="O53" s="2">
        <v>14468</v>
      </c>
      <c r="P53" s="2">
        <v>4</v>
      </c>
      <c r="Q53" s="2">
        <v>0</v>
      </c>
      <c r="R53" s="2">
        <v>1157.44</v>
      </c>
    </row>
    <row r="54" spans="1:20" x14ac:dyDescent="0.3">
      <c r="A54" s="2" t="s">
        <v>173</v>
      </c>
      <c r="B54" s="3">
        <v>45444</v>
      </c>
      <c r="C54" s="3">
        <v>45448</v>
      </c>
      <c r="D54" s="2" t="s">
        <v>52</v>
      </c>
      <c r="E54" s="2">
        <v>53</v>
      </c>
      <c r="F54" s="2" t="s">
        <v>145</v>
      </c>
      <c r="G54" s="2" t="s">
        <v>16</v>
      </c>
      <c r="H54" s="2" t="s">
        <v>12</v>
      </c>
      <c r="I54" s="2" t="s">
        <v>28</v>
      </c>
      <c r="J54" s="2" t="s">
        <v>29</v>
      </c>
      <c r="K54" s="2" t="s">
        <v>76</v>
      </c>
      <c r="L54" s="2" t="s">
        <v>69</v>
      </c>
      <c r="M54" s="2" t="s">
        <v>80</v>
      </c>
      <c r="N54" s="2" t="s">
        <v>81</v>
      </c>
      <c r="O54" s="2">
        <v>64997</v>
      </c>
      <c r="P54" s="2">
        <v>4</v>
      </c>
      <c r="Q54" s="2">
        <v>0.2</v>
      </c>
      <c r="R54" s="2">
        <v>866.63</v>
      </c>
    </row>
    <row r="55" spans="1:20" x14ac:dyDescent="0.3">
      <c r="A55" s="2" t="s">
        <v>174</v>
      </c>
      <c r="B55" s="3">
        <v>45450</v>
      </c>
      <c r="C55" s="3">
        <v>45453</v>
      </c>
      <c r="D55" s="2" t="s">
        <v>49</v>
      </c>
      <c r="E55" s="2">
        <v>54</v>
      </c>
      <c r="F55" s="2" t="s">
        <v>107</v>
      </c>
      <c r="G55" s="2" t="s">
        <v>11</v>
      </c>
      <c r="H55" s="2" t="s">
        <v>21</v>
      </c>
      <c r="I55" s="2" t="s">
        <v>22</v>
      </c>
      <c r="J55" s="2" t="s">
        <v>23</v>
      </c>
      <c r="K55" s="2" t="s">
        <v>68</v>
      </c>
      <c r="L55" s="2" t="s">
        <v>69</v>
      </c>
      <c r="M55" s="2" t="s">
        <v>70</v>
      </c>
      <c r="N55" s="2" t="s">
        <v>71</v>
      </c>
      <c r="O55" s="2">
        <v>58736</v>
      </c>
      <c r="P55" s="2">
        <v>10</v>
      </c>
      <c r="Q55" s="2">
        <v>0</v>
      </c>
      <c r="R55" s="2">
        <v>4698.88</v>
      </c>
    </row>
    <row r="56" spans="1:20" x14ac:dyDescent="0.3">
      <c r="A56" s="2" t="s">
        <v>175</v>
      </c>
      <c r="B56" s="3">
        <v>45315</v>
      </c>
      <c r="C56" s="3">
        <v>45320</v>
      </c>
      <c r="D56" s="2" t="s">
        <v>47</v>
      </c>
      <c r="E56" s="2">
        <v>55</v>
      </c>
      <c r="F56" s="2" t="s">
        <v>145</v>
      </c>
      <c r="G56" s="2" t="s">
        <v>11</v>
      </c>
      <c r="H56" s="2" t="s">
        <v>8</v>
      </c>
      <c r="I56" s="2" t="s">
        <v>9</v>
      </c>
      <c r="J56" s="2" t="s">
        <v>9</v>
      </c>
      <c r="K56" s="2" t="s">
        <v>76</v>
      </c>
      <c r="L56" s="2" t="s">
        <v>69</v>
      </c>
      <c r="M56" s="2" t="s">
        <v>80</v>
      </c>
      <c r="N56" s="2" t="s">
        <v>81</v>
      </c>
      <c r="O56" s="2">
        <v>29507</v>
      </c>
      <c r="P56" s="2">
        <v>7</v>
      </c>
      <c r="Q56" s="2">
        <v>0.05</v>
      </c>
      <c r="R56" s="2">
        <v>1868.78</v>
      </c>
    </row>
    <row r="57" spans="1:20" x14ac:dyDescent="0.3">
      <c r="A57" s="2" t="s">
        <v>176</v>
      </c>
      <c r="B57" s="3">
        <v>45380</v>
      </c>
      <c r="C57" s="3">
        <v>45384</v>
      </c>
      <c r="D57" s="2" t="s">
        <v>55</v>
      </c>
      <c r="E57" s="2">
        <v>56</v>
      </c>
      <c r="F57" s="2" t="s">
        <v>177</v>
      </c>
      <c r="G57" s="2" t="s">
        <v>7</v>
      </c>
      <c r="H57" s="2" t="s">
        <v>12</v>
      </c>
      <c r="I57" s="2" t="s">
        <v>28</v>
      </c>
      <c r="J57" s="2" t="s">
        <v>29</v>
      </c>
      <c r="K57" s="2" t="s">
        <v>79</v>
      </c>
      <c r="L57" s="2" t="s">
        <v>73</v>
      </c>
      <c r="M57" s="2" t="s">
        <v>83</v>
      </c>
      <c r="N57" s="2" t="s">
        <v>102</v>
      </c>
      <c r="O57" s="2">
        <v>44749</v>
      </c>
      <c r="P57" s="2">
        <v>2</v>
      </c>
      <c r="Q57" s="2">
        <v>0.2</v>
      </c>
      <c r="R57" s="2">
        <v>596.65</v>
      </c>
    </row>
    <row r="58" spans="1:20" x14ac:dyDescent="0.3">
      <c r="A58" s="2" t="s">
        <v>178</v>
      </c>
      <c r="B58" s="3">
        <v>45397</v>
      </c>
      <c r="C58" s="3">
        <v>45398</v>
      </c>
      <c r="D58" s="2" t="s">
        <v>49</v>
      </c>
      <c r="E58" s="2">
        <v>57</v>
      </c>
      <c r="F58" s="2" t="s">
        <v>157</v>
      </c>
      <c r="G58" s="2" t="s">
        <v>7</v>
      </c>
      <c r="H58" s="2" t="s">
        <v>8</v>
      </c>
      <c r="I58" s="2" t="s">
        <v>40</v>
      </c>
      <c r="J58" s="2" t="s">
        <v>41</v>
      </c>
      <c r="K58" s="2" t="s">
        <v>64</v>
      </c>
      <c r="L58" s="2" t="s">
        <v>65</v>
      </c>
      <c r="M58" s="2" t="s">
        <v>66</v>
      </c>
      <c r="N58" s="2" t="s">
        <v>67</v>
      </c>
      <c r="O58" s="2">
        <v>10701</v>
      </c>
      <c r="P58" s="2">
        <v>6</v>
      </c>
      <c r="Q58" s="2">
        <v>0.2</v>
      </c>
      <c r="R58" s="2">
        <v>142.68</v>
      </c>
    </row>
    <row r="59" spans="1:20" x14ac:dyDescent="0.3">
      <c r="A59" s="2" t="s">
        <v>179</v>
      </c>
      <c r="B59" s="3">
        <v>45455</v>
      </c>
      <c r="C59" s="3">
        <v>45456</v>
      </c>
      <c r="D59" s="2" t="s">
        <v>49</v>
      </c>
      <c r="E59" s="2">
        <v>58</v>
      </c>
      <c r="F59" s="2" t="s">
        <v>180</v>
      </c>
      <c r="G59" s="2" t="s">
        <v>11</v>
      </c>
      <c r="H59" s="2" t="s">
        <v>12</v>
      </c>
      <c r="I59" s="2" t="s">
        <v>28</v>
      </c>
      <c r="J59" s="2" t="s">
        <v>29</v>
      </c>
      <c r="K59" s="2" t="s">
        <v>68</v>
      </c>
      <c r="L59" s="2" t="s">
        <v>69</v>
      </c>
      <c r="M59" s="2" t="s">
        <v>70</v>
      </c>
      <c r="N59" s="2" t="s">
        <v>71</v>
      </c>
      <c r="O59" s="2">
        <v>7705</v>
      </c>
      <c r="P59" s="2">
        <v>8</v>
      </c>
      <c r="Q59" s="2">
        <v>0.1</v>
      </c>
      <c r="R59" s="2">
        <v>359.57</v>
      </c>
      <c r="S59" s="2"/>
      <c r="T59" s="2"/>
    </row>
    <row r="60" spans="1:20" x14ac:dyDescent="0.3">
      <c r="A60" s="2" t="s">
        <v>181</v>
      </c>
      <c r="B60" s="3">
        <v>45375</v>
      </c>
      <c r="C60" s="3">
        <v>45379</v>
      </c>
      <c r="D60" s="2" t="s">
        <v>52</v>
      </c>
      <c r="E60" s="2">
        <v>59</v>
      </c>
      <c r="F60" s="2" t="s">
        <v>182</v>
      </c>
      <c r="G60" s="2" t="s">
        <v>11</v>
      </c>
      <c r="H60" s="2" t="s">
        <v>8</v>
      </c>
      <c r="I60" s="2" t="s">
        <v>9</v>
      </c>
      <c r="J60" s="2" t="s">
        <v>9</v>
      </c>
      <c r="K60" s="2" t="s">
        <v>68</v>
      </c>
      <c r="L60" s="2" t="s">
        <v>69</v>
      </c>
      <c r="M60" s="2" t="s">
        <v>70</v>
      </c>
      <c r="N60" s="2" t="s">
        <v>71</v>
      </c>
      <c r="O60" s="2">
        <v>8392</v>
      </c>
      <c r="P60" s="2">
        <v>3</v>
      </c>
      <c r="Q60" s="2">
        <v>0.2</v>
      </c>
      <c r="R60" s="2">
        <v>111.89</v>
      </c>
      <c r="S60" s="2"/>
      <c r="T60" s="2"/>
    </row>
    <row r="61" spans="1:20" x14ac:dyDescent="0.3">
      <c r="A61" s="2" t="s">
        <v>183</v>
      </c>
      <c r="B61" s="3">
        <v>45465</v>
      </c>
      <c r="C61" s="3">
        <v>45470</v>
      </c>
      <c r="D61" s="2" t="s">
        <v>52</v>
      </c>
      <c r="E61" s="2">
        <v>60</v>
      </c>
      <c r="F61" s="2" t="s">
        <v>184</v>
      </c>
      <c r="G61" s="2" t="s">
        <v>7</v>
      </c>
      <c r="H61" s="2" t="s">
        <v>21</v>
      </c>
      <c r="I61" s="2" t="s">
        <v>22</v>
      </c>
      <c r="J61" s="2" t="s">
        <v>23</v>
      </c>
      <c r="K61" s="2" t="s">
        <v>79</v>
      </c>
      <c r="L61" s="2" t="s">
        <v>73</v>
      </c>
      <c r="M61" s="2" t="s">
        <v>83</v>
      </c>
      <c r="N61" s="2" t="s">
        <v>102</v>
      </c>
      <c r="O61" s="2">
        <v>3601</v>
      </c>
      <c r="P61" s="2">
        <v>6</v>
      </c>
      <c r="Q61" s="2">
        <v>0.1</v>
      </c>
      <c r="R61" s="2">
        <v>168.05</v>
      </c>
      <c r="S61" s="2"/>
      <c r="T61" s="2"/>
    </row>
    <row r="62" spans="1:20" x14ac:dyDescent="0.3">
      <c r="A62" s="2" t="s">
        <v>185</v>
      </c>
      <c r="B62" s="3">
        <v>45394</v>
      </c>
      <c r="C62" s="3">
        <v>45397</v>
      </c>
      <c r="D62" s="2" t="s">
        <v>49</v>
      </c>
      <c r="E62" s="2">
        <v>61</v>
      </c>
      <c r="F62" s="2" t="s">
        <v>134</v>
      </c>
      <c r="G62" s="2" t="s">
        <v>16</v>
      </c>
      <c r="H62" s="2" t="s">
        <v>12</v>
      </c>
      <c r="I62" s="2" t="s">
        <v>28</v>
      </c>
      <c r="J62" s="2" t="s">
        <v>29</v>
      </c>
      <c r="K62" s="2" t="s">
        <v>68</v>
      </c>
      <c r="L62" s="2" t="s">
        <v>69</v>
      </c>
      <c r="M62" s="2" t="s">
        <v>70</v>
      </c>
      <c r="N62" s="2" t="s">
        <v>71</v>
      </c>
      <c r="O62" s="2">
        <v>5097</v>
      </c>
      <c r="P62" s="2">
        <v>8</v>
      </c>
      <c r="Q62" s="2">
        <v>0.2</v>
      </c>
      <c r="R62" s="2">
        <v>67.959999999999994</v>
      </c>
      <c r="S62" s="2"/>
      <c r="T62" s="2"/>
    </row>
    <row r="63" spans="1:20" x14ac:dyDescent="0.3">
      <c r="A63" s="2" t="s">
        <v>186</v>
      </c>
      <c r="B63" s="3">
        <v>45431</v>
      </c>
      <c r="C63" s="3">
        <v>45432</v>
      </c>
      <c r="D63" s="2" t="s">
        <v>55</v>
      </c>
      <c r="E63" s="2">
        <v>62</v>
      </c>
      <c r="F63" s="2" t="s">
        <v>147</v>
      </c>
      <c r="G63" s="2" t="s">
        <v>7</v>
      </c>
      <c r="H63" s="2" t="s">
        <v>17</v>
      </c>
      <c r="I63" s="2" t="s">
        <v>18</v>
      </c>
      <c r="J63" s="2" t="s">
        <v>19</v>
      </c>
      <c r="K63" s="2" t="s">
        <v>64</v>
      </c>
      <c r="L63" s="2" t="s">
        <v>65</v>
      </c>
      <c r="M63" s="2" t="s">
        <v>66</v>
      </c>
      <c r="N63" s="2" t="s">
        <v>67</v>
      </c>
      <c r="O63" s="2">
        <v>33504</v>
      </c>
      <c r="P63" s="2">
        <v>7</v>
      </c>
      <c r="Q63" s="2">
        <v>0.05</v>
      </c>
      <c r="R63" s="2">
        <v>2121.92</v>
      </c>
      <c r="S63" s="2"/>
      <c r="T63" s="2"/>
    </row>
    <row r="64" spans="1:20" x14ac:dyDescent="0.3">
      <c r="A64" s="2" t="s">
        <v>187</v>
      </c>
      <c r="B64" s="3">
        <v>45362</v>
      </c>
      <c r="C64" s="3">
        <v>45363</v>
      </c>
      <c r="D64" s="2" t="s">
        <v>47</v>
      </c>
      <c r="E64" s="2">
        <v>63</v>
      </c>
      <c r="F64" s="2" t="s">
        <v>142</v>
      </c>
      <c r="G64" s="2" t="s">
        <v>16</v>
      </c>
      <c r="H64" s="2" t="s">
        <v>8</v>
      </c>
      <c r="I64" s="2" t="s">
        <v>9</v>
      </c>
      <c r="J64" s="2" t="s">
        <v>9</v>
      </c>
      <c r="K64" s="2" t="s">
        <v>76</v>
      </c>
      <c r="L64" s="2" t="s">
        <v>69</v>
      </c>
      <c r="M64" s="2" t="s">
        <v>80</v>
      </c>
      <c r="N64" s="2" t="s">
        <v>81</v>
      </c>
      <c r="O64" s="2">
        <v>64062</v>
      </c>
      <c r="P64" s="2">
        <v>3</v>
      </c>
      <c r="Q64" s="2">
        <v>0.05</v>
      </c>
      <c r="R64" s="2">
        <v>4057.26</v>
      </c>
      <c r="S64" s="2"/>
      <c r="T64" s="2"/>
    </row>
    <row r="65" spans="1:20" x14ac:dyDescent="0.3">
      <c r="A65" s="2" t="s">
        <v>188</v>
      </c>
      <c r="B65" s="3">
        <v>45408</v>
      </c>
      <c r="C65" s="3">
        <v>45411</v>
      </c>
      <c r="D65" s="2" t="s">
        <v>49</v>
      </c>
      <c r="E65" s="2">
        <v>64</v>
      </c>
      <c r="F65" s="2" t="s">
        <v>153</v>
      </c>
      <c r="G65" s="2" t="s">
        <v>11</v>
      </c>
      <c r="H65" s="2" t="s">
        <v>12</v>
      </c>
      <c r="I65" s="2" t="s">
        <v>28</v>
      </c>
      <c r="J65" s="2" t="s">
        <v>29</v>
      </c>
      <c r="K65" s="2" t="s">
        <v>68</v>
      </c>
      <c r="L65" s="2" t="s">
        <v>69</v>
      </c>
      <c r="M65" s="2" t="s">
        <v>70</v>
      </c>
      <c r="N65" s="2" t="s">
        <v>71</v>
      </c>
      <c r="O65" s="2">
        <v>15692</v>
      </c>
      <c r="P65" s="2">
        <v>3</v>
      </c>
      <c r="Q65" s="2">
        <v>0.2</v>
      </c>
      <c r="R65" s="2">
        <v>209.23</v>
      </c>
      <c r="S65" s="2"/>
      <c r="T65" s="2"/>
    </row>
    <row r="66" spans="1:20" x14ac:dyDescent="0.3">
      <c r="A66" s="2" t="s">
        <v>189</v>
      </c>
      <c r="B66" s="3">
        <v>45356</v>
      </c>
      <c r="C66" s="3">
        <v>45357</v>
      </c>
      <c r="D66" s="2" t="s">
        <v>47</v>
      </c>
      <c r="E66" s="2">
        <v>65</v>
      </c>
      <c r="F66" s="2" t="s">
        <v>190</v>
      </c>
      <c r="G66" s="2" t="s">
        <v>11</v>
      </c>
      <c r="H66" s="2" t="s">
        <v>12</v>
      </c>
      <c r="I66" s="2" t="s">
        <v>28</v>
      </c>
      <c r="J66" s="2" t="s">
        <v>29</v>
      </c>
      <c r="K66" s="2" t="s">
        <v>68</v>
      </c>
      <c r="L66" s="2" t="s">
        <v>69</v>
      </c>
      <c r="M66" s="2" t="s">
        <v>70</v>
      </c>
      <c r="N66" s="2" t="s">
        <v>71</v>
      </c>
      <c r="O66" s="2">
        <v>49797</v>
      </c>
      <c r="P66" s="2">
        <v>10</v>
      </c>
      <c r="Q66" s="2">
        <v>0.15</v>
      </c>
      <c r="R66" s="2">
        <v>1493.91</v>
      </c>
      <c r="S66" s="2"/>
      <c r="T66" s="2"/>
    </row>
    <row r="67" spans="1:20" x14ac:dyDescent="0.3">
      <c r="A67" s="2" t="s">
        <v>191</v>
      </c>
      <c r="B67" s="3">
        <v>45462</v>
      </c>
      <c r="C67" s="3">
        <v>45467</v>
      </c>
      <c r="D67" s="2" t="s">
        <v>52</v>
      </c>
      <c r="E67" s="2">
        <v>66</v>
      </c>
      <c r="F67" s="2" t="s">
        <v>116</v>
      </c>
      <c r="G67" s="2" t="s">
        <v>11</v>
      </c>
      <c r="H67" s="2" t="s">
        <v>21</v>
      </c>
      <c r="I67" s="2" t="s">
        <v>22</v>
      </c>
      <c r="J67" s="2" t="s">
        <v>23</v>
      </c>
      <c r="K67" s="2" t="s">
        <v>79</v>
      </c>
      <c r="L67" s="2" t="s">
        <v>73</v>
      </c>
      <c r="M67" s="2" t="s">
        <v>83</v>
      </c>
      <c r="N67" s="2" t="s">
        <v>102</v>
      </c>
      <c r="O67" s="2">
        <v>32415</v>
      </c>
      <c r="P67" s="2">
        <v>8</v>
      </c>
      <c r="Q67" s="2">
        <v>0.15</v>
      </c>
      <c r="R67" s="2">
        <v>972.45</v>
      </c>
      <c r="S67" s="2"/>
      <c r="T67" s="2"/>
    </row>
    <row r="68" spans="1:20" x14ac:dyDescent="0.3">
      <c r="A68" s="2" t="s">
        <v>192</v>
      </c>
      <c r="B68" s="3">
        <v>45350</v>
      </c>
      <c r="C68" s="3">
        <v>45354</v>
      </c>
      <c r="D68" s="2" t="s">
        <v>47</v>
      </c>
      <c r="E68" s="2">
        <v>67</v>
      </c>
      <c r="F68" s="2" t="s">
        <v>193</v>
      </c>
      <c r="G68" s="2" t="s">
        <v>16</v>
      </c>
      <c r="H68" s="2" t="s">
        <v>8</v>
      </c>
      <c r="I68" s="2" t="s">
        <v>40</v>
      </c>
      <c r="J68" s="2" t="s">
        <v>41</v>
      </c>
      <c r="K68" s="2" t="s">
        <v>72</v>
      </c>
      <c r="L68" s="2" t="s">
        <v>73</v>
      </c>
      <c r="M68" s="2" t="s">
        <v>74</v>
      </c>
      <c r="N68" s="2" t="s">
        <v>75</v>
      </c>
      <c r="O68" s="2">
        <v>5914</v>
      </c>
      <c r="P68" s="2">
        <v>9</v>
      </c>
      <c r="Q68" s="2">
        <v>0.2</v>
      </c>
      <c r="R68" s="2">
        <v>78.849999999999994</v>
      </c>
      <c r="S68" s="2"/>
      <c r="T68" s="2"/>
    </row>
    <row r="69" spans="1:20" x14ac:dyDescent="0.3">
      <c r="A69" s="2" t="s">
        <v>194</v>
      </c>
      <c r="B69" s="3">
        <v>45403</v>
      </c>
      <c r="C69" s="3">
        <v>45408</v>
      </c>
      <c r="D69" s="2" t="s">
        <v>55</v>
      </c>
      <c r="E69" s="2">
        <v>68</v>
      </c>
      <c r="F69" s="2" t="s">
        <v>190</v>
      </c>
      <c r="G69" s="2" t="s">
        <v>16</v>
      </c>
      <c r="H69" s="2" t="s">
        <v>8</v>
      </c>
      <c r="I69" s="2" t="s">
        <v>9</v>
      </c>
      <c r="J69" s="2" t="s">
        <v>9</v>
      </c>
      <c r="K69" s="2" t="s">
        <v>68</v>
      </c>
      <c r="L69" s="2" t="s">
        <v>69</v>
      </c>
      <c r="M69" s="2" t="s">
        <v>70</v>
      </c>
      <c r="N69" s="2" t="s">
        <v>71</v>
      </c>
      <c r="O69" s="2">
        <v>11363</v>
      </c>
      <c r="P69" s="2">
        <v>2</v>
      </c>
      <c r="Q69" s="2">
        <v>0.2</v>
      </c>
      <c r="R69" s="2">
        <v>151.51</v>
      </c>
      <c r="S69" s="2"/>
      <c r="T69" s="2"/>
    </row>
    <row r="70" spans="1:20" x14ac:dyDescent="0.3">
      <c r="A70" s="2" t="s">
        <v>195</v>
      </c>
      <c r="B70" s="3">
        <v>45462</v>
      </c>
      <c r="C70" s="3">
        <v>45467</v>
      </c>
      <c r="D70" s="2" t="s">
        <v>55</v>
      </c>
      <c r="E70" s="2">
        <v>69</v>
      </c>
      <c r="F70" s="2" t="s">
        <v>180</v>
      </c>
      <c r="G70" s="2" t="s">
        <v>7</v>
      </c>
      <c r="H70" s="2" t="s">
        <v>8</v>
      </c>
      <c r="I70" s="2" t="s">
        <v>40</v>
      </c>
      <c r="J70" s="2" t="s">
        <v>41</v>
      </c>
      <c r="K70" s="2" t="s">
        <v>76</v>
      </c>
      <c r="L70" s="2" t="s">
        <v>69</v>
      </c>
      <c r="M70" s="2" t="s">
        <v>80</v>
      </c>
      <c r="N70" s="2" t="s">
        <v>81</v>
      </c>
      <c r="O70" s="2">
        <v>13500</v>
      </c>
      <c r="P70" s="2">
        <v>9</v>
      </c>
      <c r="Q70" s="2">
        <v>0.15</v>
      </c>
      <c r="R70" s="2">
        <v>405</v>
      </c>
      <c r="S70" s="2"/>
      <c r="T70" s="2"/>
    </row>
    <row r="71" spans="1:20" x14ac:dyDescent="0.3">
      <c r="A71" s="2" t="s">
        <v>196</v>
      </c>
      <c r="B71" s="3">
        <v>45377</v>
      </c>
      <c r="C71" s="3">
        <v>45378</v>
      </c>
      <c r="D71" s="2" t="s">
        <v>47</v>
      </c>
      <c r="E71" s="2">
        <v>70</v>
      </c>
      <c r="F71" s="2" t="s">
        <v>197</v>
      </c>
      <c r="G71" s="2" t="s">
        <v>16</v>
      </c>
      <c r="H71" s="2" t="s">
        <v>21</v>
      </c>
      <c r="I71" s="2" t="s">
        <v>22</v>
      </c>
      <c r="J71" s="2" t="s">
        <v>23</v>
      </c>
      <c r="K71" s="2" t="s">
        <v>76</v>
      </c>
      <c r="L71" s="2" t="s">
        <v>69</v>
      </c>
      <c r="M71" s="2" t="s">
        <v>80</v>
      </c>
      <c r="N71" s="2" t="s">
        <v>81</v>
      </c>
      <c r="O71" s="2">
        <v>44751</v>
      </c>
      <c r="P71" s="2">
        <v>7</v>
      </c>
      <c r="Q71" s="2">
        <v>0</v>
      </c>
      <c r="R71" s="2">
        <v>3580.08</v>
      </c>
      <c r="S71" s="2"/>
      <c r="T71" s="2"/>
    </row>
    <row r="72" spans="1:20" x14ac:dyDescent="0.3">
      <c r="A72" s="2" t="s">
        <v>198</v>
      </c>
      <c r="B72" s="3">
        <v>45324</v>
      </c>
      <c r="C72" s="3">
        <v>45326</v>
      </c>
      <c r="D72" s="2" t="s">
        <v>55</v>
      </c>
      <c r="E72" s="2">
        <v>71</v>
      </c>
      <c r="F72" s="2" t="s">
        <v>124</v>
      </c>
      <c r="G72" s="2" t="s">
        <v>11</v>
      </c>
      <c r="H72" s="2" t="s">
        <v>8</v>
      </c>
      <c r="I72" s="2" t="s">
        <v>40</v>
      </c>
      <c r="J72" s="2" t="s">
        <v>41</v>
      </c>
      <c r="K72" s="2" t="s">
        <v>72</v>
      </c>
      <c r="L72" s="2" t="s">
        <v>73</v>
      </c>
      <c r="M72" s="2" t="s">
        <v>74</v>
      </c>
      <c r="N72" s="2" t="s">
        <v>75</v>
      </c>
      <c r="O72" s="2">
        <v>34246</v>
      </c>
      <c r="P72" s="2">
        <v>4</v>
      </c>
      <c r="Q72" s="2">
        <v>0.05</v>
      </c>
      <c r="R72" s="2">
        <v>2168.91</v>
      </c>
      <c r="S72" s="2"/>
      <c r="T72" s="2"/>
    </row>
    <row r="73" spans="1:20" x14ac:dyDescent="0.3">
      <c r="A73" s="2" t="s">
        <v>199</v>
      </c>
      <c r="B73" s="3">
        <v>45432</v>
      </c>
      <c r="C73" s="3">
        <v>45437</v>
      </c>
      <c r="D73" s="2" t="s">
        <v>47</v>
      </c>
      <c r="E73" s="2">
        <v>72</v>
      </c>
      <c r="F73" s="2" t="s">
        <v>200</v>
      </c>
      <c r="G73" s="2" t="s">
        <v>7</v>
      </c>
      <c r="H73" s="2" t="s">
        <v>12</v>
      </c>
      <c r="I73" s="2" t="s">
        <v>28</v>
      </c>
      <c r="J73" s="2" t="s">
        <v>29</v>
      </c>
      <c r="K73" s="2" t="s">
        <v>72</v>
      </c>
      <c r="L73" s="2" t="s">
        <v>73</v>
      </c>
      <c r="M73" s="2" t="s">
        <v>74</v>
      </c>
      <c r="N73" s="2" t="s">
        <v>75</v>
      </c>
      <c r="O73" s="2">
        <v>44383</v>
      </c>
      <c r="P73" s="2">
        <v>9</v>
      </c>
      <c r="Q73" s="2">
        <v>0</v>
      </c>
      <c r="R73" s="2">
        <v>3550.64</v>
      </c>
      <c r="S73" s="2"/>
      <c r="T73" s="2"/>
    </row>
    <row r="74" spans="1:20" x14ac:dyDescent="0.3">
      <c r="A74" s="2" t="s">
        <v>201</v>
      </c>
      <c r="B74" s="3">
        <v>45454</v>
      </c>
      <c r="C74" s="3">
        <v>45457</v>
      </c>
      <c r="D74" s="2" t="s">
        <v>49</v>
      </c>
      <c r="E74" s="2">
        <v>73</v>
      </c>
      <c r="F74" s="2" t="s">
        <v>182</v>
      </c>
      <c r="G74" s="2" t="s">
        <v>16</v>
      </c>
      <c r="H74" s="2" t="s">
        <v>8</v>
      </c>
      <c r="I74" s="2" t="s">
        <v>9</v>
      </c>
      <c r="J74" s="2" t="s">
        <v>9</v>
      </c>
      <c r="K74" s="2" t="s">
        <v>68</v>
      </c>
      <c r="L74" s="2" t="s">
        <v>69</v>
      </c>
      <c r="M74" s="2" t="s">
        <v>70</v>
      </c>
      <c r="N74" s="2" t="s">
        <v>71</v>
      </c>
      <c r="O74" s="2">
        <v>18969</v>
      </c>
      <c r="P74" s="2">
        <v>2</v>
      </c>
      <c r="Q74" s="2">
        <v>0</v>
      </c>
      <c r="R74" s="2">
        <v>1517.52</v>
      </c>
      <c r="S74" s="2"/>
      <c r="T74" s="2"/>
    </row>
    <row r="75" spans="1:20" x14ac:dyDescent="0.3">
      <c r="A75" s="2" t="s">
        <v>202</v>
      </c>
      <c r="B75" s="3">
        <v>45303</v>
      </c>
      <c r="C75" s="3">
        <v>45304</v>
      </c>
      <c r="D75" s="2" t="s">
        <v>55</v>
      </c>
      <c r="E75" s="2">
        <v>74</v>
      </c>
      <c r="F75" s="2" t="s">
        <v>6</v>
      </c>
      <c r="G75" s="2" t="s">
        <v>7</v>
      </c>
      <c r="H75" s="2" t="s">
        <v>12</v>
      </c>
      <c r="I75" s="2" t="s">
        <v>28</v>
      </c>
      <c r="J75" s="2" t="s">
        <v>29</v>
      </c>
      <c r="K75" s="2" t="s">
        <v>76</v>
      </c>
      <c r="L75" s="2" t="s">
        <v>69</v>
      </c>
      <c r="M75" s="2" t="s">
        <v>80</v>
      </c>
      <c r="N75" s="2" t="s">
        <v>81</v>
      </c>
      <c r="O75" s="2">
        <v>12084</v>
      </c>
      <c r="P75" s="2">
        <v>5</v>
      </c>
      <c r="Q75" s="2">
        <v>0.2</v>
      </c>
      <c r="R75" s="2">
        <v>161.12</v>
      </c>
      <c r="S75" s="2"/>
      <c r="T75" s="2"/>
    </row>
    <row r="76" spans="1:20" x14ac:dyDescent="0.3">
      <c r="A76" s="2" t="s">
        <v>203</v>
      </c>
      <c r="B76" s="3">
        <v>45454</v>
      </c>
      <c r="C76" s="3">
        <v>45457</v>
      </c>
      <c r="D76" s="2" t="s">
        <v>55</v>
      </c>
      <c r="E76" s="2">
        <v>75</v>
      </c>
      <c r="F76" s="2" t="s">
        <v>145</v>
      </c>
      <c r="G76" s="2" t="s">
        <v>7</v>
      </c>
      <c r="H76" s="2" t="s">
        <v>12</v>
      </c>
      <c r="I76" s="2" t="s">
        <v>28</v>
      </c>
      <c r="J76" s="2" t="s">
        <v>29</v>
      </c>
      <c r="K76" s="2" t="s">
        <v>76</v>
      </c>
      <c r="L76" s="2" t="s">
        <v>69</v>
      </c>
      <c r="M76" s="2" t="s">
        <v>80</v>
      </c>
      <c r="N76" s="2" t="s">
        <v>81</v>
      </c>
      <c r="O76" s="2">
        <v>68867</v>
      </c>
      <c r="P76" s="2">
        <v>3</v>
      </c>
      <c r="Q76" s="2">
        <v>0.2</v>
      </c>
      <c r="R76" s="2">
        <v>918.23</v>
      </c>
      <c r="S76" s="2"/>
      <c r="T76" s="2"/>
    </row>
    <row r="77" spans="1:20" x14ac:dyDescent="0.3">
      <c r="A77" s="2" t="s">
        <v>204</v>
      </c>
      <c r="B77" s="3">
        <v>45416</v>
      </c>
      <c r="C77" s="3">
        <v>45417</v>
      </c>
      <c r="D77" s="2" t="s">
        <v>52</v>
      </c>
      <c r="E77" s="2">
        <v>76</v>
      </c>
      <c r="F77" s="2" t="s">
        <v>205</v>
      </c>
      <c r="G77" s="2" t="s">
        <v>16</v>
      </c>
      <c r="H77" s="2" t="s">
        <v>12</v>
      </c>
      <c r="I77" s="2" t="s">
        <v>13</v>
      </c>
      <c r="J77" s="2" t="s">
        <v>14</v>
      </c>
      <c r="K77" s="2" t="s">
        <v>72</v>
      </c>
      <c r="L77" s="2" t="s">
        <v>73</v>
      </c>
      <c r="M77" s="2" t="s">
        <v>74</v>
      </c>
      <c r="N77" s="2" t="s">
        <v>75</v>
      </c>
      <c r="O77" s="2">
        <v>47385</v>
      </c>
      <c r="P77" s="2">
        <v>7</v>
      </c>
      <c r="Q77" s="2">
        <v>0.15</v>
      </c>
      <c r="R77" s="2">
        <v>1421.55</v>
      </c>
      <c r="S77" s="2"/>
      <c r="T77" s="2"/>
    </row>
    <row r="78" spans="1:20" x14ac:dyDescent="0.3">
      <c r="A78" s="2" t="s">
        <v>206</v>
      </c>
      <c r="B78" s="3">
        <v>45386</v>
      </c>
      <c r="C78" s="3">
        <v>45388</v>
      </c>
      <c r="D78" s="2" t="s">
        <v>47</v>
      </c>
      <c r="E78" s="2">
        <v>77</v>
      </c>
      <c r="F78" s="2" t="s">
        <v>145</v>
      </c>
      <c r="G78" s="2" t="s">
        <v>16</v>
      </c>
      <c r="H78" s="2" t="s">
        <v>12</v>
      </c>
      <c r="I78" s="2" t="s">
        <v>13</v>
      </c>
      <c r="J78" s="2" t="s">
        <v>14</v>
      </c>
      <c r="K78" s="2" t="s">
        <v>64</v>
      </c>
      <c r="L78" s="2" t="s">
        <v>65</v>
      </c>
      <c r="M78" s="2" t="s">
        <v>66</v>
      </c>
      <c r="N78" s="2" t="s">
        <v>67</v>
      </c>
      <c r="O78" s="2">
        <v>38905</v>
      </c>
      <c r="P78" s="2">
        <v>3</v>
      </c>
      <c r="Q78" s="2">
        <v>0.1</v>
      </c>
      <c r="R78" s="2">
        <v>1815.57</v>
      </c>
      <c r="S78" s="2"/>
      <c r="T78" s="2"/>
    </row>
    <row r="79" spans="1:20" x14ac:dyDescent="0.3">
      <c r="A79" s="2" t="s">
        <v>207</v>
      </c>
      <c r="B79" s="3">
        <v>45418</v>
      </c>
      <c r="C79" s="3">
        <v>45422</v>
      </c>
      <c r="D79" s="2" t="s">
        <v>47</v>
      </c>
      <c r="E79" s="2">
        <v>78</v>
      </c>
      <c r="F79" s="2" t="s">
        <v>10</v>
      </c>
      <c r="G79" s="2" t="s">
        <v>7</v>
      </c>
      <c r="H79" s="2" t="s">
        <v>8</v>
      </c>
      <c r="I79" s="2" t="s">
        <v>9</v>
      </c>
      <c r="J79" s="2" t="s">
        <v>9</v>
      </c>
      <c r="K79" s="2" t="s">
        <v>68</v>
      </c>
      <c r="L79" s="2" t="s">
        <v>69</v>
      </c>
      <c r="M79" s="2" t="s">
        <v>70</v>
      </c>
      <c r="N79" s="2" t="s">
        <v>71</v>
      </c>
      <c r="O79" s="2">
        <v>30578</v>
      </c>
      <c r="P79" s="2">
        <v>5</v>
      </c>
      <c r="Q79" s="2">
        <v>0.2</v>
      </c>
      <c r="R79" s="2">
        <v>407.71</v>
      </c>
      <c r="S79" s="2"/>
      <c r="T79" s="2"/>
    </row>
    <row r="80" spans="1:20" x14ac:dyDescent="0.3">
      <c r="A80" s="2" t="s">
        <v>208</v>
      </c>
      <c r="B80" s="3">
        <v>45452</v>
      </c>
      <c r="C80" s="3">
        <v>45455</v>
      </c>
      <c r="D80" s="2" t="s">
        <v>49</v>
      </c>
      <c r="E80" s="2">
        <v>79</v>
      </c>
      <c r="F80" s="2" t="s">
        <v>177</v>
      </c>
      <c r="G80" s="2" t="s">
        <v>7</v>
      </c>
      <c r="H80" s="2" t="s">
        <v>12</v>
      </c>
      <c r="I80" s="2" t="s">
        <v>13</v>
      </c>
      <c r="J80" s="2" t="s">
        <v>14</v>
      </c>
      <c r="K80" s="2" t="s">
        <v>72</v>
      </c>
      <c r="L80" s="2" t="s">
        <v>73</v>
      </c>
      <c r="M80" s="2" t="s">
        <v>74</v>
      </c>
      <c r="N80" s="2" t="s">
        <v>75</v>
      </c>
      <c r="O80" s="2">
        <v>46822</v>
      </c>
      <c r="P80" s="2">
        <v>4</v>
      </c>
      <c r="Q80" s="2">
        <v>0.15</v>
      </c>
      <c r="R80" s="2">
        <v>1404.66</v>
      </c>
      <c r="S80" s="2"/>
      <c r="T80" s="2"/>
    </row>
    <row r="81" spans="1:20" x14ac:dyDescent="0.3">
      <c r="A81" s="2" t="s">
        <v>209</v>
      </c>
      <c r="B81" s="3">
        <v>45400</v>
      </c>
      <c r="C81" s="3">
        <v>45405</v>
      </c>
      <c r="D81" s="2" t="s">
        <v>52</v>
      </c>
      <c r="E81" s="2">
        <v>80</v>
      </c>
      <c r="F81" s="2" t="s">
        <v>177</v>
      </c>
      <c r="G81" s="2" t="s">
        <v>7</v>
      </c>
      <c r="H81" s="2" t="s">
        <v>12</v>
      </c>
      <c r="I81" s="2" t="s">
        <v>13</v>
      </c>
      <c r="J81" s="2" t="s">
        <v>14</v>
      </c>
      <c r="K81" s="2" t="s">
        <v>64</v>
      </c>
      <c r="L81" s="2" t="s">
        <v>65</v>
      </c>
      <c r="M81" s="2" t="s">
        <v>66</v>
      </c>
      <c r="N81" s="2" t="s">
        <v>67</v>
      </c>
      <c r="O81" s="2">
        <v>59578</v>
      </c>
      <c r="P81" s="2">
        <v>6</v>
      </c>
      <c r="Q81" s="2">
        <v>0.2</v>
      </c>
      <c r="R81" s="2">
        <v>794.37</v>
      </c>
      <c r="S81" s="2"/>
      <c r="T81" s="2"/>
    </row>
    <row r="82" spans="1:20" x14ac:dyDescent="0.3">
      <c r="A82" s="2" t="s">
        <v>210</v>
      </c>
      <c r="B82" s="3">
        <v>45332</v>
      </c>
      <c r="C82" s="3">
        <v>45337</v>
      </c>
      <c r="D82" s="2" t="s">
        <v>47</v>
      </c>
      <c r="E82" s="2">
        <v>81</v>
      </c>
      <c r="F82" s="2" t="s">
        <v>197</v>
      </c>
      <c r="G82" s="2" t="s">
        <v>7</v>
      </c>
      <c r="H82" s="2" t="s">
        <v>12</v>
      </c>
      <c r="I82" s="2" t="s">
        <v>28</v>
      </c>
      <c r="J82" s="2" t="s">
        <v>29</v>
      </c>
      <c r="K82" s="2" t="s">
        <v>68</v>
      </c>
      <c r="L82" s="2" t="s">
        <v>69</v>
      </c>
      <c r="M82" s="2" t="s">
        <v>70</v>
      </c>
      <c r="N82" s="2" t="s">
        <v>71</v>
      </c>
      <c r="O82" s="2">
        <v>6255</v>
      </c>
      <c r="P82" s="2">
        <v>10</v>
      </c>
      <c r="Q82" s="2">
        <v>0</v>
      </c>
      <c r="R82" s="2">
        <v>500.4</v>
      </c>
      <c r="S82" s="2"/>
      <c r="T82" s="2"/>
    </row>
    <row r="83" spans="1:20" x14ac:dyDescent="0.3">
      <c r="A83" s="2" t="s">
        <v>211</v>
      </c>
      <c r="B83" s="3">
        <v>45421</v>
      </c>
      <c r="C83" s="3">
        <v>45422</v>
      </c>
      <c r="D83" s="2" t="s">
        <v>52</v>
      </c>
      <c r="E83" s="2">
        <v>82</v>
      </c>
      <c r="F83" s="2" t="s">
        <v>104</v>
      </c>
      <c r="G83" s="2" t="s">
        <v>16</v>
      </c>
      <c r="H83" s="2" t="s">
        <v>21</v>
      </c>
      <c r="I83" s="2" t="s">
        <v>22</v>
      </c>
      <c r="J83" s="2" t="s">
        <v>23</v>
      </c>
      <c r="K83" s="2" t="s">
        <v>76</v>
      </c>
      <c r="L83" s="2" t="s">
        <v>69</v>
      </c>
      <c r="M83" s="2" t="s">
        <v>80</v>
      </c>
      <c r="N83" s="2" t="s">
        <v>81</v>
      </c>
      <c r="O83" s="2">
        <v>35693</v>
      </c>
      <c r="P83" s="2">
        <v>5</v>
      </c>
      <c r="Q83" s="2">
        <v>0.05</v>
      </c>
      <c r="R83" s="2">
        <v>2260.56</v>
      </c>
      <c r="S83" s="2"/>
      <c r="T83" s="2"/>
    </row>
    <row r="84" spans="1:20" x14ac:dyDescent="0.3">
      <c r="A84" s="2" t="s">
        <v>212</v>
      </c>
      <c r="B84" s="3">
        <v>45354</v>
      </c>
      <c r="C84" s="3">
        <v>45358</v>
      </c>
      <c r="D84" s="2" t="s">
        <v>55</v>
      </c>
      <c r="E84" s="2">
        <v>83</v>
      </c>
      <c r="F84" s="2" t="s">
        <v>112</v>
      </c>
      <c r="G84" s="2" t="s">
        <v>7</v>
      </c>
      <c r="H84" s="2" t="s">
        <v>12</v>
      </c>
      <c r="I84" s="2" t="s">
        <v>13</v>
      </c>
      <c r="J84" s="2" t="s">
        <v>14</v>
      </c>
      <c r="K84" s="2" t="s">
        <v>79</v>
      </c>
      <c r="L84" s="2" t="s">
        <v>73</v>
      </c>
      <c r="M84" s="2" t="s">
        <v>83</v>
      </c>
      <c r="N84" s="2" t="s">
        <v>102</v>
      </c>
      <c r="O84" s="2">
        <v>6663</v>
      </c>
      <c r="P84" s="2">
        <v>7</v>
      </c>
      <c r="Q84" s="2">
        <v>0.1</v>
      </c>
      <c r="R84" s="2">
        <v>310.94</v>
      </c>
      <c r="S84" s="2"/>
      <c r="T84" s="2"/>
    </row>
    <row r="85" spans="1:20" x14ac:dyDescent="0.3">
      <c r="A85" s="2" t="s">
        <v>213</v>
      </c>
      <c r="B85" s="3">
        <v>45431</v>
      </c>
      <c r="C85" s="3">
        <v>45435</v>
      </c>
      <c r="D85" s="2" t="s">
        <v>52</v>
      </c>
      <c r="E85" s="2">
        <v>84</v>
      </c>
      <c r="F85" s="2" t="s">
        <v>214</v>
      </c>
      <c r="G85" s="2" t="s">
        <v>11</v>
      </c>
      <c r="H85" s="2" t="s">
        <v>8</v>
      </c>
      <c r="I85" s="2" t="s">
        <v>9</v>
      </c>
      <c r="J85" s="2" t="s">
        <v>9</v>
      </c>
      <c r="K85" s="2" t="s">
        <v>64</v>
      </c>
      <c r="L85" s="2" t="s">
        <v>65</v>
      </c>
      <c r="M85" s="2" t="s">
        <v>66</v>
      </c>
      <c r="N85" s="2" t="s">
        <v>67</v>
      </c>
      <c r="O85" s="2">
        <v>40152</v>
      </c>
      <c r="P85" s="2">
        <v>2</v>
      </c>
      <c r="Q85" s="2">
        <v>0.05</v>
      </c>
      <c r="R85" s="2">
        <v>2542.96</v>
      </c>
      <c r="S85" s="2"/>
      <c r="T85" s="2"/>
    </row>
    <row r="86" spans="1:20" x14ac:dyDescent="0.3">
      <c r="A86" s="2" t="s">
        <v>215</v>
      </c>
      <c r="B86" s="3">
        <v>45348</v>
      </c>
      <c r="C86" s="3">
        <v>45351</v>
      </c>
      <c r="D86" s="2" t="s">
        <v>52</v>
      </c>
      <c r="E86" s="2">
        <v>85</v>
      </c>
      <c r="F86" s="2" t="s">
        <v>200</v>
      </c>
      <c r="G86" s="2" t="s">
        <v>11</v>
      </c>
      <c r="H86" s="2" t="s">
        <v>12</v>
      </c>
      <c r="I86" s="2" t="s">
        <v>28</v>
      </c>
      <c r="J86" s="2" t="s">
        <v>29</v>
      </c>
      <c r="K86" s="2" t="s">
        <v>72</v>
      </c>
      <c r="L86" s="2" t="s">
        <v>73</v>
      </c>
      <c r="M86" s="2" t="s">
        <v>74</v>
      </c>
      <c r="N86" s="2" t="s">
        <v>75</v>
      </c>
      <c r="O86" s="2">
        <v>40958</v>
      </c>
      <c r="P86" s="2">
        <v>3</v>
      </c>
      <c r="Q86" s="2">
        <v>0.2</v>
      </c>
      <c r="R86" s="2">
        <v>546.11</v>
      </c>
      <c r="S86" s="2"/>
      <c r="T86" s="2"/>
    </row>
    <row r="87" spans="1:20" x14ac:dyDescent="0.3">
      <c r="A87" s="2" t="s">
        <v>216</v>
      </c>
      <c r="B87" s="3">
        <v>45314</v>
      </c>
      <c r="C87" s="3">
        <v>45316</v>
      </c>
      <c r="D87" s="2" t="s">
        <v>47</v>
      </c>
      <c r="E87" s="2">
        <v>86</v>
      </c>
      <c r="F87" s="2" t="s">
        <v>184</v>
      </c>
      <c r="G87" s="2" t="s">
        <v>7</v>
      </c>
      <c r="H87" s="2" t="s">
        <v>12</v>
      </c>
      <c r="I87" s="2" t="s">
        <v>28</v>
      </c>
      <c r="J87" s="2" t="s">
        <v>29</v>
      </c>
      <c r="K87" s="2" t="s">
        <v>76</v>
      </c>
      <c r="L87" s="2" t="s">
        <v>69</v>
      </c>
      <c r="M87" s="2" t="s">
        <v>80</v>
      </c>
      <c r="N87" s="2" t="s">
        <v>81</v>
      </c>
      <c r="O87" s="2">
        <v>38516</v>
      </c>
      <c r="P87" s="2">
        <v>3</v>
      </c>
      <c r="Q87" s="2">
        <v>0.05</v>
      </c>
      <c r="R87" s="2">
        <v>2439.35</v>
      </c>
      <c r="S87" s="2"/>
      <c r="T87" s="2"/>
    </row>
    <row r="88" spans="1:20" x14ac:dyDescent="0.3">
      <c r="A88" s="2" t="s">
        <v>217</v>
      </c>
      <c r="B88" s="3">
        <v>45436</v>
      </c>
      <c r="C88" s="3">
        <v>45439</v>
      </c>
      <c r="D88" s="2" t="s">
        <v>47</v>
      </c>
      <c r="E88" s="2">
        <v>87</v>
      </c>
      <c r="F88" s="2" t="s">
        <v>112</v>
      </c>
      <c r="G88" s="2" t="s">
        <v>16</v>
      </c>
      <c r="H88" s="2" t="s">
        <v>21</v>
      </c>
      <c r="I88" s="2" t="s">
        <v>22</v>
      </c>
      <c r="J88" s="2" t="s">
        <v>23</v>
      </c>
      <c r="K88" s="2" t="s">
        <v>72</v>
      </c>
      <c r="L88" s="2" t="s">
        <v>73</v>
      </c>
      <c r="M88" s="2" t="s">
        <v>74</v>
      </c>
      <c r="N88" s="2" t="s">
        <v>75</v>
      </c>
      <c r="O88" s="2">
        <v>59733</v>
      </c>
      <c r="P88" s="2">
        <v>1</v>
      </c>
      <c r="Q88" s="2">
        <v>0</v>
      </c>
      <c r="R88" s="2">
        <v>4778.6400000000003</v>
      </c>
      <c r="S88" s="2"/>
      <c r="T88" s="2"/>
    </row>
    <row r="89" spans="1:20" x14ac:dyDescent="0.3">
      <c r="A89" s="2" t="s">
        <v>218</v>
      </c>
      <c r="B89" s="3">
        <v>45341</v>
      </c>
      <c r="C89" s="3">
        <v>45342</v>
      </c>
      <c r="D89" s="2" t="s">
        <v>52</v>
      </c>
      <c r="E89" s="2">
        <v>88</v>
      </c>
      <c r="F89" s="2" t="s">
        <v>145</v>
      </c>
      <c r="G89" s="2" t="s">
        <v>11</v>
      </c>
      <c r="H89" s="2" t="s">
        <v>8</v>
      </c>
      <c r="I89" s="2" t="s">
        <v>40</v>
      </c>
      <c r="J89" s="2" t="s">
        <v>41</v>
      </c>
      <c r="K89" s="2" t="s">
        <v>68</v>
      </c>
      <c r="L89" s="2" t="s">
        <v>69</v>
      </c>
      <c r="M89" s="2" t="s">
        <v>70</v>
      </c>
      <c r="N89" s="2" t="s">
        <v>71</v>
      </c>
      <c r="O89" s="2">
        <v>56692</v>
      </c>
      <c r="P89" s="2">
        <v>6</v>
      </c>
      <c r="Q89" s="2">
        <v>0.05</v>
      </c>
      <c r="R89" s="2">
        <v>3590.49</v>
      </c>
      <c r="S89" s="2"/>
      <c r="T89" s="2"/>
    </row>
    <row r="90" spans="1:20" x14ac:dyDescent="0.3">
      <c r="A90" s="2" t="s">
        <v>219</v>
      </c>
      <c r="B90" s="3">
        <v>45382</v>
      </c>
      <c r="C90" s="3">
        <v>45385</v>
      </c>
      <c r="D90" s="2" t="s">
        <v>49</v>
      </c>
      <c r="E90" s="2">
        <v>89</v>
      </c>
      <c r="F90" s="2" t="s">
        <v>120</v>
      </c>
      <c r="G90" s="2" t="s">
        <v>7</v>
      </c>
      <c r="H90" s="2" t="s">
        <v>8</v>
      </c>
      <c r="I90" s="2" t="s">
        <v>9</v>
      </c>
      <c r="J90" s="2" t="s">
        <v>9</v>
      </c>
      <c r="K90" s="2" t="s">
        <v>64</v>
      </c>
      <c r="L90" s="2" t="s">
        <v>65</v>
      </c>
      <c r="M90" s="2" t="s">
        <v>66</v>
      </c>
      <c r="N90" s="2" t="s">
        <v>67</v>
      </c>
      <c r="O90" s="2">
        <v>31097</v>
      </c>
      <c r="P90" s="2">
        <v>2</v>
      </c>
      <c r="Q90" s="2">
        <v>0.1</v>
      </c>
      <c r="R90" s="2">
        <v>1451.19</v>
      </c>
      <c r="S90" s="2"/>
      <c r="T90" s="2"/>
    </row>
    <row r="91" spans="1:20" x14ac:dyDescent="0.3">
      <c r="A91" s="2" t="s">
        <v>220</v>
      </c>
      <c r="B91" s="3">
        <v>45394</v>
      </c>
      <c r="C91" s="3">
        <v>45397</v>
      </c>
      <c r="D91" s="2" t="s">
        <v>49</v>
      </c>
      <c r="E91" s="2">
        <v>90</v>
      </c>
      <c r="F91" s="2" t="s">
        <v>221</v>
      </c>
      <c r="G91" s="2" t="s">
        <v>16</v>
      </c>
      <c r="H91" s="2" t="s">
        <v>12</v>
      </c>
      <c r="I91" s="2" t="s">
        <v>28</v>
      </c>
      <c r="J91" s="2" t="s">
        <v>29</v>
      </c>
      <c r="K91" s="2" t="s">
        <v>76</v>
      </c>
      <c r="L91" s="2" t="s">
        <v>69</v>
      </c>
      <c r="M91" s="2" t="s">
        <v>80</v>
      </c>
      <c r="N91" s="2" t="s">
        <v>81</v>
      </c>
      <c r="O91" s="2">
        <v>31961</v>
      </c>
      <c r="P91" s="2">
        <v>4</v>
      </c>
      <c r="Q91" s="2">
        <v>0.05</v>
      </c>
      <c r="R91" s="2">
        <v>2024.2</v>
      </c>
      <c r="S91" s="2"/>
      <c r="T91" s="2"/>
    </row>
    <row r="92" spans="1:20" x14ac:dyDescent="0.3">
      <c r="A92" s="2" t="s">
        <v>222</v>
      </c>
      <c r="B92" s="3">
        <v>45463</v>
      </c>
      <c r="C92" s="3">
        <v>45466</v>
      </c>
      <c r="D92" s="2" t="s">
        <v>52</v>
      </c>
      <c r="E92" s="2">
        <v>91</v>
      </c>
      <c r="F92" s="2" t="s">
        <v>116</v>
      </c>
      <c r="G92" s="2" t="s">
        <v>16</v>
      </c>
      <c r="H92" s="2" t="s">
        <v>12</v>
      </c>
      <c r="I92" s="2" t="s">
        <v>13</v>
      </c>
      <c r="J92" s="2" t="s">
        <v>14</v>
      </c>
      <c r="K92" s="2" t="s">
        <v>76</v>
      </c>
      <c r="L92" s="2" t="s">
        <v>69</v>
      </c>
      <c r="M92" s="2" t="s">
        <v>80</v>
      </c>
      <c r="N92" s="2" t="s">
        <v>81</v>
      </c>
      <c r="O92" s="2">
        <v>43779</v>
      </c>
      <c r="P92" s="2">
        <v>9</v>
      </c>
      <c r="Q92" s="2">
        <v>0.05</v>
      </c>
      <c r="R92" s="2">
        <v>2772.67</v>
      </c>
      <c r="S92" s="2"/>
      <c r="T92" s="2"/>
    </row>
    <row r="93" spans="1:20" x14ac:dyDescent="0.3">
      <c r="A93" s="2" t="s">
        <v>223</v>
      </c>
      <c r="B93" s="3">
        <v>45293</v>
      </c>
      <c r="C93" s="3">
        <v>45294</v>
      </c>
      <c r="D93" s="2" t="s">
        <v>47</v>
      </c>
      <c r="E93" s="2">
        <v>92</v>
      </c>
      <c r="F93" s="2" t="s">
        <v>197</v>
      </c>
      <c r="G93" s="2" t="s">
        <v>16</v>
      </c>
      <c r="H93" s="2" t="s">
        <v>17</v>
      </c>
      <c r="I93" s="2" t="s">
        <v>18</v>
      </c>
      <c r="J93" s="2" t="s">
        <v>19</v>
      </c>
      <c r="K93" s="2" t="s">
        <v>79</v>
      </c>
      <c r="L93" s="2" t="s">
        <v>73</v>
      </c>
      <c r="M93" s="2" t="s">
        <v>83</v>
      </c>
      <c r="N93" s="2" t="s">
        <v>102</v>
      </c>
      <c r="O93" s="2">
        <v>50473</v>
      </c>
      <c r="P93" s="2">
        <v>2</v>
      </c>
      <c r="Q93" s="2">
        <v>0.15</v>
      </c>
      <c r="R93" s="2">
        <v>1514.19</v>
      </c>
    </row>
    <row r="94" spans="1:20" x14ac:dyDescent="0.3">
      <c r="A94" s="2" t="s">
        <v>224</v>
      </c>
      <c r="B94" s="3">
        <v>45375</v>
      </c>
      <c r="C94" s="3">
        <v>45378</v>
      </c>
      <c r="D94" s="2" t="s">
        <v>49</v>
      </c>
      <c r="E94" s="2">
        <v>93</v>
      </c>
      <c r="F94" s="2" t="s">
        <v>161</v>
      </c>
      <c r="G94" s="2" t="s">
        <v>7</v>
      </c>
      <c r="H94" s="2" t="s">
        <v>8</v>
      </c>
      <c r="I94" s="2" t="s">
        <v>9</v>
      </c>
      <c r="J94" s="2" t="s">
        <v>9</v>
      </c>
      <c r="K94" s="2" t="s">
        <v>72</v>
      </c>
      <c r="L94" s="2" t="s">
        <v>73</v>
      </c>
      <c r="M94" s="2" t="s">
        <v>74</v>
      </c>
      <c r="N94" s="2" t="s">
        <v>75</v>
      </c>
      <c r="O94" s="2">
        <v>34268</v>
      </c>
      <c r="P94" s="2">
        <v>6</v>
      </c>
      <c r="Q94" s="2">
        <v>0.05</v>
      </c>
      <c r="R94" s="2">
        <v>2170.31</v>
      </c>
    </row>
    <row r="95" spans="1:20" x14ac:dyDescent="0.3">
      <c r="A95" s="2" t="s">
        <v>225</v>
      </c>
      <c r="B95" s="3">
        <v>45297</v>
      </c>
      <c r="C95" s="3">
        <v>45300</v>
      </c>
      <c r="D95" s="2" t="s">
        <v>47</v>
      </c>
      <c r="E95" s="2">
        <v>94</v>
      </c>
      <c r="F95" s="2" t="s">
        <v>163</v>
      </c>
      <c r="G95" s="2" t="s">
        <v>16</v>
      </c>
      <c r="H95" s="2" t="s">
        <v>12</v>
      </c>
      <c r="I95" s="2" t="s">
        <v>13</v>
      </c>
      <c r="J95" s="2" t="s">
        <v>14</v>
      </c>
      <c r="K95" s="2" t="s">
        <v>72</v>
      </c>
      <c r="L95" s="2" t="s">
        <v>73</v>
      </c>
      <c r="M95" s="2" t="s">
        <v>74</v>
      </c>
      <c r="N95" s="2" t="s">
        <v>75</v>
      </c>
      <c r="O95" s="2">
        <v>26670</v>
      </c>
      <c r="P95" s="2">
        <v>3</v>
      </c>
      <c r="Q95" s="2">
        <v>0.1</v>
      </c>
      <c r="R95" s="2">
        <v>1244.5999999999999</v>
      </c>
    </row>
    <row r="96" spans="1:20" x14ac:dyDescent="0.3">
      <c r="A96" s="2" t="s">
        <v>226</v>
      </c>
      <c r="B96" s="3">
        <v>45351</v>
      </c>
      <c r="C96" s="3">
        <v>45353</v>
      </c>
      <c r="D96" s="2" t="s">
        <v>55</v>
      </c>
      <c r="E96" s="2">
        <v>95</v>
      </c>
      <c r="F96" s="2" t="s">
        <v>153</v>
      </c>
      <c r="G96" s="2" t="s">
        <v>7</v>
      </c>
      <c r="H96" s="2" t="s">
        <v>8</v>
      </c>
      <c r="I96" s="2" t="s">
        <v>40</v>
      </c>
      <c r="J96" s="2" t="s">
        <v>41</v>
      </c>
      <c r="K96" s="2" t="s">
        <v>64</v>
      </c>
      <c r="L96" s="2" t="s">
        <v>65</v>
      </c>
      <c r="M96" s="2" t="s">
        <v>66</v>
      </c>
      <c r="N96" s="2" t="s">
        <v>67</v>
      </c>
      <c r="O96" s="2">
        <v>69948</v>
      </c>
      <c r="P96" s="2">
        <v>7</v>
      </c>
      <c r="Q96" s="2">
        <v>0</v>
      </c>
      <c r="R96" s="2">
        <v>5595.84</v>
      </c>
    </row>
    <row r="97" spans="1:18" x14ac:dyDescent="0.3">
      <c r="A97" s="2" t="s">
        <v>227</v>
      </c>
      <c r="B97" s="3">
        <v>45442</v>
      </c>
      <c r="C97" s="3">
        <v>45443</v>
      </c>
      <c r="D97" s="2" t="s">
        <v>52</v>
      </c>
      <c r="E97" s="2">
        <v>96</v>
      </c>
      <c r="F97" s="2" t="s">
        <v>142</v>
      </c>
      <c r="G97" s="2" t="s">
        <v>16</v>
      </c>
      <c r="H97" s="2" t="s">
        <v>21</v>
      </c>
      <c r="I97" s="2" t="s">
        <v>22</v>
      </c>
      <c r="J97" s="2" t="s">
        <v>23</v>
      </c>
      <c r="K97" s="2" t="s">
        <v>72</v>
      </c>
      <c r="L97" s="2" t="s">
        <v>73</v>
      </c>
      <c r="M97" s="2" t="s">
        <v>74</v>
      </c>
      <c r="N97" s="2" t="s">
        <v>75</v>
      </c>
      <c r="O97" s="2">
        <v>13408</v>
      </c>
      <c r="P97" s="2">
        <v>2</v>
      </c>
      <c r="Q97" s="2">
        <v>0</v>
      </c>
      <c r="R97" s="2">
        <v>1072.6400000000001</v>
      </c>
    </row>
    <row r="98" spans="1:18" x14ac:dyDescent="0.3">
      <c r="A98" s="2" t="s">
        <v>228</v>
      </c>
      <c r="B98" s="3">
        <v>45378</v>
      </c>
      <c r="C98" s="3">
        <v>45379</v>
      </c>
      <c r="D98" s="2" t="s">
        <v>52</v>
      </c>
      <c r="E98" s="2">
        <v>97</v>
      </c>
      <c r="F98" s="2" t="s">
        <v>229</v>
      </c>
      <c r="G98" s="2" t="s">
        <v>16</v>
      </c>
      <c r="H98" s="2" t="s">
        <v>21</v>
      </c>
      <c r="I98" s="2" t="s">
        <v>22</v>
      </c>
      <c r="J98" s="2" t="s">
        <v>23</v>
      </c>
      <c r="K98" s="2" t="s">
        <v>76</v>
      </c>
      <c r="L98" s="2" t="s">
        <v>69</v>
      </c>
      <c r="M98" s="2" t="s">
        <v>80</v>
      </c>
      <c r="N98" s="2" t="s">
        <v>81</v>
      </c>
      <c r="O98" s="2">
        <v>19343</v>
      </c>
      <c r="P98" s="2">
        <v>2</v>
      </c>
      <c r="Q98" s="2">
        <v>0.15</v>
      </c>
      <c r="R98" s="2">
        <v>580.29</v>
      </c>
    </row>
    <row r="99" spans="1:18" x14ac:dyDescent="0.3">
      <c r="A99" s="2" t="s">
        <v>230</v>
      </c>
      <c r="B99" s="3">
        <v>45339</v>
      </c>
      <c r="C99" s="3">
        <v>45340</v>
      </c>
      <c r="D99" s="2" t="s">
        <v>52</v>
      </c>
      <c r="E99" s="2">
        <v>98</v>
      </c>
      <c r="F99" s="2" t="s">
        <v>231</v>
      </c>
      <c r="G99" s="2" t="s">
        <v>11</v>
      </c>
      <c r="H99" s="2" t="s">
        <v>12</v>
      </c>
      <c r="I99" s="2" t="s">
        <v>13</v>
      </c>
      <c r="J99" s="2" t="s">
        <v>14</v>
      </c>
      <c r="K99" s="2" t="s">
        <v>64</v>
      </c>
      <c r="L99" s="2" t="s">
        <v>65</v>
      </c>
      <c r="M99" s="2" t="s">
        <v>66</v>
      </c>
      <c r="N99" s="2" t="s">
        <v>67</v>
      </c>
      <c r="O99" s="2">
        <v>39322</v>
      </c>
      <c r="P99" s="2">
        <v>9</v>
      </c>
      <c r="Q99" s="2">
        <v>0.1</v>
      </c>
      <c r="R99" s="2">
        <v>1835.03</v>
      </c>
    </row>
    <row r="100" spans="1:18" x14ac:dyDescent="0.3">
      <c r="A100" s="2" t="s">
        <v>232</v>
      </c>
      <c r="B100" s="3">
        <v>45327</v>
      </c>
      <c r="C100" s="3">
        <v>45330</v>
      </c>
      <c r="D100" s="2" t="s">
        <v>52</v>
      </c>
      <c r="E100" s="2">
        <v>99</v>
      </c>
      <c r="F100" s="2" t="s">
        <v>180</v>
      </c>
      <c r="G100" s="2" t="s">
        <v>7</v>
      </c>
      <c r="H100" s="2" t="s">
        <v>8</v>
      </c>
      <c r="I100" s="2" t="s">
        <v>9</v>
      </c>
      <c r="J100" s="2" t="s">
        <v>9</v>
      </c>
      <c r="K100" s="2" t="s">
        <v>64</v>
      </c>
      <c r="L100" s="2" t="s">
        <v>65</v>
      </c>
      <c r="M100" s="2" t="s">
        <v>66</v>
      </c>
      <c r="N100" s="2" t="s">
        <v>67</v>
      </c>
      <c r="O100" s="2">
        <v>29726</v>
      </c>
      <c r="P100" s="2">
        <v>1</v>
      </c>
      <c r="Q100" s="2">
        <v>0.15</v>
      </c>
      <c r="R100" s="2">
        <v>891.78</v>
      </c>
    </row>
    <row r="101" spans="1:18" x14ac:dyDescent="0.3">
      <c r="A101" s="2" t="s">
        <v>233</v>
      </c>
      <c r="B101" s="3">
        <v>45442</v>
      </c>
      <c r="C101" s="3">
        <v>45443</v>
      </c>
      <c r="D101" s="2" t="s">
        <v>47</v>
      </c>
      <c r="E101" s="2">
        <v>100</v>
      </c>
      <c r="F101" s="2" t="s">
        <v>214</v>
      </c>
      <c r="G101" s="2" t="s">
        <v>16</v>
      </c>
      <c r="H101" s="2" t="s">
        <v>12</v>
      </c>
      <c r="I101" s="2" t="s">
        <v>13</v>
      </c>
      <c r="J101" s="2" t="s">
        <v>14</v>
      </c>
      <c r="K101" s="2" t="s">
        <v>64</v>
      </c>
      <c r="L101" s="2" t="s">
        <v>65</v>
      </c>
      <c r="M101" s="2" t="s">
        <v>66</v>
      </c>
      <c r="N101" s="2" t="s">
        <v>67</v>
      </c>
      <c r="O101" s="2">
        <v>45841</v>
      </c>
      <c r="P101" s="2">
        <v>4</v>
      </c>
      <c r="Q101" s="2">
        <v>0.15</v>
      </c>
      <c r="R101" s="2">
        <v>1375.23</v>
      </c>
    </row>
    <row r="102" spans="1:18" x14ac:dyDescent="0.3">
      <c r="A102" s="2" t="s">
        <v>234</v>
      </c>
      <c r="B102" s="3">
        <v>45317</v>
      </c>
      <c r="C102" s="3">
        <v>45322</v>
      </c>
      <c r="D102" s="2" t="s">
        <v>52</v>
      </c>
      <c r="E102" s="2">
        <v>101</v>
      </c>
      <c r="F102" s="2" t="s">
        <v>136</v>
      </c>
      <c r="G102" s="2" t="s">
        <v>16</v>
      </c>
      <c r="H102" s="2" t="s">
        <v>12</v>
      </c>
      <c r="I102" s="2" t="s">
        <v>13</v>
      </c>
      <c r="J102" s="2" t="s">
        <v>14</v>
      </c>
      <c r="K102" s="2" t="s">
        <v>72</v>
      </c>
      <c r="L102" s="2" t="s">
        <v>73</v>
      </c>
      <c r="M102" s="2" t="s">
        <v>74</v>
      </c>
      <c r="N102" s="2" t="s">
        <v>75</v>
      </c>
      <c r="O102" s="2">
        <v>12253</v>
      </c>
      <c r="P102" s="2">
        <v>4</v>
      </c>
      <c r="Q102" s="2">
        <v>0.15</v>
      </c>
      <c r="R102" s="2">
        <v>367.59</v>
      </c>
    </row>
    <row r="103" spans="1:18" x14ac:dyDescent="0.3">
      <c r="A103" s="2" t="s">
        <v>235</v>
      </c>
      <c r="B103" s="3">
        <v>45357</v>
      </c>
      <c r="C103" s="3">
        <v>45361</v>
      </c>
      <c r="D103" s="2" t="s">
        <v>49</v>
      </c>
      <c r="E103" s="2">
        <v>102</v>
      </c>
      <c r="F103" s="2" t="s">
        <v>165</v>
      </c>
      <c r="G103" s="2" t="s">
        <v>16</v>
      </c>
      <c r="H103" s="2" t="s">
        <v>17</v>
      </c>
      <c r="I103" s="2" t="s">
        <v>18</v>
      </c>
      <c r="J103" s="2" t="s">
        <v>19</v>
      </c>
      <c r="K103" s="2" t="s">
        <v>76</v>
      </c>
      <c r="L103" s="2" t="s">
        <v>69</v>
      </c>
      <c r="M103" s="2" t="s">
        <v>80</v>
      </c>
      <c r="N103" s="2" t="s">
        <v>81</v>
      </c>
      <c r="O103" s="2">
        <v>14048</v>
      </c>
      <c r="P103" s="2">
        <v>3</v>
      </c>
      <c r="Q103" s="2">
        <v>0.2</v>
      </c>
      <c r="R103" s="2">
        <v>187.31</v>
      </c>
    </row>
    <row r="104" spans="1:18" x14ac:dyDescent="0.3">
      <c r="A104" s="2" t="s">
        <v>236</v>
      </c>
      <c r="B104" s="3">
        <v>45359</v>
      </c>
      <c r="C104" s="3">
        <v>45361</v>
      </c>
      <c r="D104" s="2" t="s">
        <v>52</v>
      </c>
      <c r="E104" s="2">
        <v>103</v>
      </c>
      <c r="F104" s="2" t="s">
        <v>163</v>
      </c>
      <c r="G104" s="2" t="s">
        <v>7</v>
      </c>
      <c r="H104" s="2" t="s">
        <v>12</v>
      </c>
      <c r="I104" s="2" t="s">
        <v>13</v>
      </c>
      <c r="J104" s="2" t="s">
        <v>14</v>
      </c>
      <c r="K104" s="2" t="s">
        <v>68</v>
      </c>
      <c r="L104" s="2" t="s">
        <v>69</v>
      </c>
      <c r="M104" s="2" t="s">
        <v>70</v>
      </c>
      <c r="N104" s="2" t="s">
        <v>71</v>
      </c>
      <c r="O104" s="2">
        <v>5347</v>
      </c>
      <c r="P104" s="2">
        <v>4</v>
      </c>
      <c r="Q104" s="2">
        <v>0.1</v>
      </c>
      <c r="R104" s="2">
        <v>249.53</v>
      </c>
    </row>
    <row r="105" spans="1:18" x14ac:dyDescent="0.3">
      <c r="A105" s="2" t="s">
        <v>237</v>
      </c>
      <c r="B105" s="3">
        <v>45300</v>
      </c>
      <c r="C105" s="3">
        <v>45303</v>
      </c>
      <c r="D105" s="2" t="s">
        <v>49</v>
      </c>
      <c r="E105" s="2">
        <v>104</v>
      </c>
      <c r="F105" s="2" t="s">
        <v>177</v>
      </c>
      <c r="G105" s="2" t="s">
        <v>7</v>
      </c>
      <c r="H105" s="2" t="s">
        <v>17</v>
      </c>
      <c r="I105" s="2" t="s">
        <v>18</v>
      </c>
      <c r="J105" s="2" t="s">
        <v>19</v>
      </c>
      <c r="K105" s="2" t="s">
        <v>68</v>
      </c>
      <c r="L105" s="2" t="s">
        <v>69</v>
      </c>
      <c r="M105" s="2" t="s">
        <v>70</v>
      </c>
      <c r="N105" s="2" t="s">
        <v>71</v>
      </c>
      <c r="O105" s="2">
        <v>33459</v>
      </c>
      <c r="P105" s="2">
        <v>6</v>
      </c>
      <c r="Q105" s="2">
        <v>0.15</v>
      </c>
      <c r="R105" s="2">
        <v>1003.77</v>
      </c>
    </row>
    <row r="106" spans="1:18" x14ac:dyDescent="0.3">
      <c r="A106" s="2" t="s">
        <v>238</v>
      </c>
      <c r="B106" s="3">
        <v>45410</v>
      </c>
      <c r="C106" s="3">
        <v>45411</v>
      </c>
      <c r="D106" s="2" t="s">
        <v>47</v>
      </c>
      <c r="E106" s="2">
        <v>105</v>
      </c>
      <c r="F106" s="2" t="s">
        <v>122</v>
      </c>
      <c r="G106" s="2" t="s">
        <v>7</v>
      </c>
      <c r="H106" s="2" t="s">
        <v>12</v>
      </c>
      <c r="I106" s="2" t="s">
        <v>28</v>
      </c>
      <c r="J106" s="2" t="s">
        <v>29</v>
      </c>
      <c r="K106" s="2" t="s">
        <v>72</v>
      </c>
      <c r="L106" s="2" t="s">
        <v>73</v>
      </c>
      <c r="M106" s="2" t="s">
        <v>74</v>
      </c>
      <c r="N106" s="2" t="s">
        <v>75</v>
      </c>
      <c r="O106" s="2">
        <v>21586</v>
      </c>
      <c r="P106" s="2">
        <v>8</v>
      </c>
      <c r="Q106" s="2">
        <v>0.2</v>
      </c>
      <c r="R106" s="2">
        <v>287.81</v>
      </c>
    </row>
    <row r="107" spans="1:18" x14ac:dyDescent="0.3">
      <c r="A107" s="2" t="s">
        <v>239</v>
      </c>
      <c r="B107" s="3">
        <v>45443</v>
      </c>
      <c r="C107" s="3">
        <v>45447</v>
      </c>
      <c r="D107" s="2" t="s">
        <v>49</v>
      </c>
      <c r="E107" s="2">
        <v>106</v>
      </c>
      <c r="F107" s="2" t="s">
        <v>118</v>
      </c>
      <c r="G107" s="2" t="s">
        <v>11</v>
      </c>
      <c r="H107" s="2" t="s">
        <v>21</v>
      </c>
      <c r="I107" s="2" t="s">
        <v>22</v>
      </c>
      <c r="J107" s="2" t="s">
        <v>23</v>
      </c>
      <c r="K107" s="2" t="s">
        <v>76</v>
      </c>
      <c r="L107" s="2" t="s">
        <v>69</v>
      </c>
      <c r="M107" s="2" t="s">
        <v>80</v>
      </c>
      <c r="N107" s="2" t="s">
        <v>81</v>
      </c>
      <c r="O107" s="2">
        <v>65313</v>
      </c>
      <c r="P107" s="2">
        <v>7</v>
      </c>
      <c r="Q107" s="2">
        <v>0.1</v>
      </c>
      <c r="R107" s="2">
        <v>3047.94</v>
      </c>
    </row>
    <row r="108" spans="1:18" x14ac:dyDescent="0.3">
      <c r="A108" s="2" t="s">
        <v>240</v>
      </c>
      <c r="B108" s="3">
        <v>45325</v>
      </c>
      <c r="C108" s="3">
        <v>45327</v>
      </c>
      <c r="D108" s="2" t="s">
        <v>55</v>
      </c>
      <c r="E108" s="2">
        <v>107</v>
      </c>
      <c r="F108" s="2" t="s">
        <v>182</v>
      </c>
      <c r="G108" s="2" t="s">
        <v>16</v>
      </c>
      <c r="H108" s="2" t="s">
        <v>21</v>
      </c>
      <c r="I108" s="2" t="s">
        <v>22</v>
      </c>
      <c r="J108" s="2" t="s">
        <v>23</v>
      </c>
      <c r="K108" s="2" t="s">
        <v>64</v>
      </c>
      <c r="L108" s="2" t="s">
        <v>65</v>
      </c>
      <c r="M108" s="2" t="s">
        <v>66</v>
      </c>
      <c r="N108" s="2" t="s">
        <v>67</v>
      </c>
      <c r="O108" s="2">
        <v>10669</v>
      </c>
      <c r="P108" s="2">
        <v>9</v>
      </c>
      <c r="Q108" s="2">
        <v>0.1</v>
      </c>
      <c r="R108" s="2">
        <v>497.89</v>
      </c>
    </row>
    <row r="109" spans="1:18" x14ac:dyDescent="0.3">
      <c r="A109" s="2" t="s">
        <v>241</v>
      </c>
      <c r="B109" s="3">
        <v>45387</v>
      </c>
      <c r="C109" s="3">
        <v>45388</v>
      </c>
      <c r="D109" s="2" t="s">
        <v>55</v>
      </c>
      <c r="E109" s="2">
        <v>108</v>
      </c>
      <c r="F109" s="2" t="s">
        <v>118</v>
      </c>
      <c r="G109" s="2" t="s">
        <v>16</v>
      </c>
      <c r="H109" s="2" t="s">
        <v>17</v>
      </c>
      <c r="I109" s="2" t="s">
        <v>18</v>
      </c>
      <c r="J109" s="2" t="s">
        <v>19</v>
      </c>
      <c r="K109" s="2" t="s">
        <v>76</v>
      </c>
      <c r="L109" s="2" t="s">
        <v>69</v>
      </c>
      <c r="M109" s="2" t="s">
        <v>80</v>
      </c>
      <c r="N109" s="2" t="s">
        <v>81</v>
      </c>
      <c r="O109" s="2">
        <v>36928</v>
      </c>
      <c r="P109" s="2">
        <v>8</v>
      </c>
      <c r="Q109" s="2">
        <v>0.1</v>
      </c>
      <c r="R109" s="2">
        <v>1723.31</v>
      </c>
    </row>
    <row r="110" spans="1:18" x14ac:dyDescent="0.3">
      <c r="A110" s="2" t="s">
        <v>242</v>
      </c>
      <c r="B110" s="3">
        <v>45325</v>
      </c>
      <c r="C110" s="3">
        <v>45327</v>
      </c>
      <c r="D110" s="2" t="s">
        <v>52</v>
      </c>
      <c r="E110" s="2">
        <v>109</v>
      </c>
      <c r="F110" s="2" t="s">
        <v>10</v>
      </c>
      <c r="G110" s="2" t="s">
        <v>7</v>
      </c>
      <c r="H110" s="2" t="s">
        <v>17</v>
      </c>
      <c r="I110" s="2" t="s">
        <v>18</v>
      </c>
      <c r="J110" s="2" t="s">
        <v>19</v>
      </c>
      <c r="K110" s="2" t="s">
        <v>79</v>
      </c>
      <c r="L110" s="2" t="s">
        <v>73</v>
      </c>
      <c r="M110" s="2" t="s">
        <v>83</v>
      </c>
      <c r="N110" s="2" t="s">
        <v>102</v>
      </c>
      <c r="O110" s="2">
        <v>23853</v>
      </c>
      <c r="P110" s="2">
        <v>3</v>
      </c>
      <c r="Q110" s="2">
        <v>0.05</v>
      </c>
      <c r="R110" s="2">
        <v>1510.69</v>
      </c>
    </row>
    <row r="111" spans="1:18" x14ac:dyDescent="0.3">
      <c r="A111" s="2" t="s">
        <v>243</v>
      </c>
      <c r="B111" s="3">
        <v>45373</v>
      </c>
      <c r="C111" s="3">
        <v>45374</v>
      </c>
      <c r="D111" s="2" t="s">
        <v>47</v>
      </c>
      <c r="E111" s="2">
        <v>110</v>
      </c>
      <c r="F111" s="2" t="s">
        <v>153</v>
      </c>
      <c r="G111" s="2" t="s">
        <v>7</v>
      </c>
      <c r="H111" s="2" t="s">
        <v>8</v>
      </c>
      <c r="I111" s="2" t="s">
        <v>40</v>
      </c>
      <c r="J111" s="2" t="s">
        <v>41</v>
      </c>
      <c r="K111" s="2" t="s">
        <v>76</v>
      </c>
      <c r="L111" s="2" t="s">
        <v>69</v>
      </c>
      <c r="M111" s="2" t="s">
        <v>80</v>
      </c>
      <c r="N111" s="2" t="s">
        <v>81</v>
      </c>
      <c r="O111" s="2">
        <v>31028</v>
      </c>
      <c r="P111" s="2">
        <v>2</v>
      </c>
      <c r="Q111" s="2">
        <v>0</v>
      </c>
      <c r="R111" s="2">
        <v>2482.2399999999998</v>
      </c>
    </row>
    <row r="112" spans="1:18" x14ac:dyDescent="0.3">
      <c r="A112" s="2" t="s">
        <v>244</v>
      </c>
      <c r="B112" s="3">
        <v>45354</v>
      </c>
      <c r="C112" s="3">
        <v>45357</v>
      </c>
      <c r="D112" s="2" t="s">
        <v>49</v>
      </c>
      <c r="E112" s="2">
        <v>111</v>
      </c>
      <c r="F112" s="2" t="s">
        <v>10</v>
      </c>
      <c r="G112" s="2" t="s">
        <v>7</v>
      </c>
      <c r="H112" s="2" t="s">
        <v>17</v>
      </c>
      <c r="I112" s="2" t="s">
        <v>18</v>
      </c>
      <c r="J112" s="2" t="s">
        <v>19</v>
      </c>
      <c r="K112" s="2" t="s">
        <v>76</v>
      </c>
      <c r="L112" s="2" t="s">
        <v>69</v>
      </c>
      <c r="M112" s="2" t="s">
        <v>80</v>
      </c>
      <c r="N112" s="2" t="s">
        <v>81</v>
      </c>
      <c r="O112" s="2">
        <v>55693</v>
      </c>
      <c r="P112" s="2">
        <v>3</v>
      </c>
      <c r="Q112" s="2">
        <v>0</v>
      </c>
      <c r="R112" s="2">
        <v>4455.4399999999996</v>
      </c>
    </row>
    <row r="113" spans="1:19" x14ac:dyDescent="0.3">
      <c r="A113" s="2" t="s">
        <v>245</v>
      </c>
      <c r="B113" s="3">
        <v>45373</v>
      </c>
      <c r="C113" s="3">
        <v>45375</v>
      </c>
      <c r="D113" s="2" t="s">
        <v>52</v>
      </c>
      <c r="E113" s="2">
        <v>112</v>
      </c>
      <c r="F113" s="2" t="s">
        <v>214</v>
      </c>
      <c r="G113" s="2" t="s">
        <v>16</v>
      </c>
      <c r="H113" s="2" t="s">
        <v>17</v>
      </c>
      <c r="I113" s="2" t="s">
        <v>18</v>
      </c>
      <c r="J113" s="2" t="s">
        <v>19</v>
      </c>
      <c r="K113" s="2" t="s">
        <v>72</v>
      </c>
      <c r="L113" s="2" t="s">
        <v>73</v>
      </c>
      <c r="M113" s="2" t="s">
        <v>74</v>
      </c>
      <c r="N113" s="2" t="s">
        <v>75</v>
      </c>
      <c r="O113" s="2">
        <v>67158</v>
      </c>
      <c r="P113" s="2">
        <v>9</v>
      </c>
      <c r="Q113" s="2">
        <v>0.1</v>
      </c>
      <c r="R113" s="2">
        <v>3134.04</v>
      </c>
    </row>
    <row r="114" spans="1:19" x14ac:dyDescent="0.3">
      <c r="A114" s="2" t="s">
        <v>246</v>
      </c>
      <c r="B114" s="3">
        <v>45328</v>
      </c>
      <c r="C114" s="3">
        <v>45330</v>
      </c>
      <c r="D114" s="2" t="s">
        <v>47</v>
      </c>
      <c r="E114" s="2">
        <v>113</v>
      </c>
      <c r="F114" s="2" t="s">
        <v>105</v>
      </c>
      <c r="G114" s="2" t="s">
        <v>11</v>
      </c>
      <c r="H114" s="2" t="s">
        <v>8</v>
      </c>
      <c r="I114" s="2" t="s">
        <v>40</v>
      </c>
      <c r="J114" s="2" t="s">
        <v>41</v>
      </c>
      <c r="K114" s="2" t="s">
        <v>72</v>
      </c>
      <c r="L114" s="2" t="s">
        <v>73</v>
      </c>
      <c r="M114" s="2" t="s">
        <v>74</v>
      </c>
      <c r="N114" s="2" t="s">
        <v>75</v>
      </c>
      <c r="O114" s="2">
        <v>67240</v>
      </c>
      <c r="P114" s="2">
        <v>10</v>
      </c>
      <c r="Q114" s="2">
        <v>0.15</v>
      </c>
      <c r="R114" s="2">
        <v>2017.2</v>
      </c>
    </row>
    <row r="115" spans="1:19" x14ac:dyDescent="0.3">
      <c r="A115" s="2" t="s">
        <v>247</v>
      </c>
      <c r="B115" s="3">
        <v>45340</v>
      </c>
      <c r="C115" s="3">
        <v>45343</v>
      </c>
      <c r="D115" s="2" t="s">
        <v>49</v>
      </c>
      <c r="E115" s="2">
        <v>114</v>
      </c>
      <c r="F115" s="2" t="s">
        <v>138</v>
      </c>
      <c r="G115" s="2" t="s">
        <v>7</v>
      </c>
      <c r="H115" s="2" t="s">
        <v>12</v>
      </c>
      <c r="I115" s="2" t="s">
        <v>13</v>
      </c>
      <c r="J115" s="2" t="s">
        <v>14</v>
      </c>
      <c r="K115" s="2" t="s">
        <v>68</v>
      </c>
      <c r="L115" s="2" t="s">
        <v>69</v>
      </c>
      <c r="M115" s="2" t="s">
        <v>70</v>
      </c>
      <c r="N115" s="2" t="s">
        <v>71</v>
      </c>
      <c r="O115" s="2">
        <v>28497</v>
      </c>
      <c r="P115" s="2">
        <v>1</v>
      </c>
      <c r="Q115" s="2">
        <v>0.15</v>
      </c>
      <c r="R115" s="2">
        <v>854.91</v>
      </c>
    </row>
    <row r="116" spans="1:19" x14ac:dyDescent="0.3">
      <c r="A116" s="2" t="s">
        <v>248</v>
      </c>
      <c r="B116" s="3">
        <v>45315</v>
      </c>
      <c r="C116" s="3">
        <v>45318</v>
      </c>
      <c r="D116" s="2" t="s">
        <v>47</v>
      </c>
      <c r="E116" s="2">
        <v>115</v>
      </c>
      <c r="F116" s="2" t="s">
        <v>108</v>
      </c>
      <c r="G116" s="2" t="s">
        <v>16</v>
      </c>
      <c r="H116" s="2" t="s">
        <v>12</v>
      </c>
      <c r="I116" s="2" t="s">
        <v>13</v>
      </c>
      <c r="J116" s="2" t="s">
        <v>14</v>
      </c>
      <c r="K116" s="2" t="s">
        <v>79</v>
      </c>
      <c r="L116" s="2" t="s">
        <v>73</v>
      </c>
      <c r="M116" s="2" t="s">
        <v>83</v>
      </c>
      <c r="N116" s="2" t="s">
        <v>102</v>
      </c>
      <c r="O116" s="2">
        <v>13691</v>
      </c>
      <c r="P116" s="2">
        <v>2</v>
      </c>
      <c r="Q116" s="2">
        <v>0.15</v>
      </c>
      <c r="R116" s="2">
        <v>410.73</v>
      </c>
    </row>
    <row r="117" spans="1:19" x14ac:dyDescent="0.3">
      <c r="A117" s="2" t="s">
        <v>249</v>
      </c>
      <c r="B117" s="3">
        <v>45426</v>
      </c>
      <c r="C117" s="3">
        <v>45430</v>
      </c>
      <c r="D117" s="2" t="s">
        <v>47</v>
      </c>
      <c r="E117" s="2">
        <v>116</v>
      </c>
      <c r="F117" s="2" t="s">
        <v>112</v>
      </c>
      <c r="G117" s="2" t="s">
        <v>16</v>
      </c>
      <c r="H117" s="2" t="s">
        <v>17</v>
      </c>
      <c r="I117" s="2" t="s">
        <v>18</v>
      </c>
      <c r="J117" s="2" t="s">
        <v>19</v>
      </c>
      <c r="K117" s="2" t="s">
        <v>68</v>
      </c>
      <c r="L117" s="2" t="s">
        <v>69</v>
      </c>
      <c r="M117" s="2" t="s">
        <v>70</v>
      </c>
      <c r="N117" s="2" t="s">
        <v>71</v>
      </c>
      <c r="O117" s="2">
        <v>66416</v>
      </c>
      <c r="P117" s="2">
        <v>9</v>
      </c>
      <c r="Q117" s="2">
        <v>0.1</v>
      </c>
      <c r="R117" s="2">
        <v>3099.41</v>
      </c>
    </row>
    <row r="118" spans="1:19" x14ac:dyDescent="0.3">
      <c r="A118" s="2" t="s">
        <v>250</v>
      </c>
      <c r="B118" s="3">
        <v>45349</v>
      </c>
      <c r="C118" s="3">
        <v>45353</v>
      </c>
      <c r="D118" s="2" t="s">
        <v>47</v>
      </c>
      <c r="E118" s="2">
        <v>117</v>
      </c>
      <c r="F118" s="2" t="s">
        <v>126</v>
      </c>
      <c r="G118" s="2" t="s">
        <v>7</v>
      </c>
      <c r="H118" s="2" t="s">
        <v>12</v>
      </c>
      <c r="I118" s="2" t="s">
        <v>28</v>
      </c>
      <c r="J118" s="2" t="s">
        <v>29</v>
      </c>
      <c r="K118" s="2" t="s">
        <v>68</v>
      </c>
      <c r="L118" s="2" t="s">
        <v>69</v>
      </c>
      <c r="M118" s="2" t="s">
        <v>70</v>
      </c>
      <c r="N118" s="2" t="s">
        <v>71</v>
      </c>
      <c r="O118" s="2">
        <v>10065</v>
      </c>
      <c r="P118" s="2">
        <v>2</v>
      </c>
      <c r="Q118" s="2">
        <v>0.05</v>
      </c>
      <c r="R118" s="2">
        <v>637.45000000000005</v>
      </c>
    </row>
    <row r="119" spans="1:19" x14ac:dyDescent="0.3">
      <c r="A119" s="2" t="s">
        <v>251</v>
      </c>
      <c r="B119" s="3">
        <v>45399</v>
      </c>
      <c r="C119" s="3">
        <v>45403</v>
      </c>
      <c r="D119" s="2" t="s">
        <v>55</v>
      </c>
      <c r="E119" s="2">
        <v>118</v>
      </c>
      <c r="F119" s="2" t="s">
        <v>229</v>
      </c>
      <c r="G119" s="2" t="s">
        <v>16</v>
      </c>
      <c r="H119" s="2" t="s">
        <v>12</v>
      </c>
      <c r="I119" s="2" t="s">
        <v>13</v>
      </c>
      <c r="J119" s="2" t="s">
        <v>14</v>
      </c>
      <c r="K119" s="2" t="s">
        <v>64</v>
      </c>
      <c r="L119" s="2" t="s">
        <v>65</v>
      </c>
      <c r="M119" s="2" t="s">
        <v>66</v>
      </c>
      <c r="N119" s="2" t="s">
        <v>67</v>
      </c>
      <c r="O119" s="2">
        <v>50251</v>
      </c>
      <c r="P119" s="2">
        <v>9</v>
      </c>
      <c r="Q119" s="2">
        <v>0.1</v>
      </c>
      <c r="R119" s="2">
        <v>2345.0500000000002</v>
      </c>
    </row>
    <row r="120" spans="1:19" x14ac:dyDescent="0.3">
      <c r="A120" s="2" t="s">
        <v>252</v>
      </c>
      <c r="B120" s="3">
        <v>45330</v>
      </c>
      <c r="C120" s="3">
        <v>45335</v>
      </c>
      <c r="D120" s="2" t="s">
        <v>55</v>
      </c>
      <c r="E120" s="2">
        <v>119</v>
      </c>
      <c r="F120" s="2" t="s">
        <v>116</v>
      </c>
      <c r="G120" s="2" t="s">
        <v>7</v>
      </c>
      <c r="H120" s="2" t="s">
        <v>21</v>
      </c>
      <c r="I120" s="2" t="s">
        <v>22</v>
      </c>
      <c r="J120" s="2" t="s">
        <v>23</v>
      </c>
      <c r="K120" s="2" t="s">
        <v>64</v>
      </c>
      <c r="L120" s="2" t="s">
        <v>65</v>
      </c>
      <c r="M120" s="2" t="s">
        <v>66</v>
      </c>
      <c r="N120" s="2" t="s">
        <v>67</v>
      </c>
      <c r="O120" s="2">
        <v>53067</v>
      </c>
      <c r="P120" s="2">
        <v>3</v>
      </c>
      <c r="Q120" s="2">
        <v>0.1</v>
      </c>
      <c r="R120" s="2">
        <v>2476.46</v>
      </c>
    </row>
    <row r="121" spans="1:19" x14ac:dyDescent="0.3">
      <c r="A121" s="2" t="s">
        <v>253</v>
      </c>
      <c r="B121" s="3">
        <v>45379</v>
      </c>
      <c r="C121" s="3">
        <v>45384</v>
      </c>
      <c r="D121" s="2" t="s">
        <v>47</v>
      </c>
      <c r="E121" s="2">
        <v>120</v>
      </c>
      <c r="F121" s="2" t="s">
        <v>124</v>
      </c>
      <c r="G121" s="2" t="s">
        <v>11</v>
      </c>
      <c r="H121" s="2" t="s">
        <v>17</v>
      </c>
      <c r="I121" s="2" t="s">
        <v>18</v>
      </c>
      <c r="J121" s="2" t="s">
        <v>19</v>
      </c>
      <c r="K121" s="2" t="s">
        <v>64</v>
      </c>
      <c r="L121" s="2" t="s">
        <v>65</v>
      </c>
      <c r="M121" s="2" t="s">
        <v>66</v>
      </c>
      <c r="N121" s="2" t="s">
        <v>67</v>
      </c>
      <c r="O121" s="2">
        <v>68229</v>
      </c>
      <c r="P121" s="2">
        <v>7</v>
      </c>
      <c r="Q121" s="2">
        <v>0.15</v>
      </c>
      <c r="R121" s="2">
        <v>2046.87</v>
      </c>
    </row>
    <row r="122" spans="1:19" x14ac:dyDescent="0.3">
      <c r="A122" s="2" t="s">
        <v>254</v>
      </c>
      <c r="B122" s="3">
        <v>45292</v>
      </c>
      <c r="C122" s="3">
        <v>45293</v>
      </c>
      <c r="D122" s="2" t="s">
        <v>47</v>
      </c>
      <c r="E122" s="2">
        <v>121</v>
      </c>
      <c r="F122" s="2" t="s">
        <v>200</v>
      </c>
      <c r="G122" s="2" t="s">
        <v>11</v>
      </c>
      <c r="H122" s="2" t="s">
        <v>17</v>
      </c>
      <c r="I122" s="2" t="s">
        <v>18</v>
      </c>
      <c r="J122" s="2" t="s">
        <v>19</v>
      </c>
      <c r="K122" s="2" t="s">
        <v>72</v>
      </c>
      <c r="L122" s="2" t="s">
        <v>73</v>
      </c>
      <c r="M122" s="2" t="s">
        <v>74</v>
      </c>
      <c r="N122" s="2" t="s">
        <v>75</v>
      </c>
      <c r="O122" s="2">
        <v>14911</v>
      </c>
      <c r="P122" s="2">
        <v>5</v>
      </c>
      <c r="Q122" s="2">
        <v>0.15</v>
      </c>
      <c r="R122" s="2">
        <v>447.33</v>
      </c>
    </row>
    <row r="123" spans="1:19" x14ac:dyDescent="0.3">
      <c r="A123" s="2" t="s">
        <v>255</v>
      </c>
      <c r="B123" s="3">
        <v>45321</v>
      </c>
      <c r="C123" s="3">
        <v>45326</v>
      </c>
      <c r="D123" s="2" t="s">
        <v>47</v>
      </c>
      <c r="E123" s="2">
        <v>122</v>
      </c>
      <c r="F123" s="2" t="s">
        <v>165</v>
      </c>
      <c r="G123" s="2" t="s">
        <v>16</v>
      </c>
      <c r="H123" s="2" t="s">
        <v>8</v>
      </c>
      <c r="I123" s="2" t="s">
        <v>40</v>
      </c>
      <c r="J123" s="2" t="s">
        <v>41</v>
      </c>
      <c r="K123" s="2" t="s">
        <v>79</v>
      </c>
      <c r="L123" s="2" t="s">
        <v>73</v>
      </c>
      <c r="M123" s="2" t="s">
        <v>83</v>
      </c>
      <c r="N123" s="2" t="s">
        <v>102</v>
      </c>
      <c r="O123" s="2">
        <v>38503</v>
      </c>
      <c r="P123" s="2">
        <v>4</v>
      </c>
      <c r="Q123" s="2">
        <v>0.1</v>
      </c>
      <c r="R123" s="2">
        <v>1796.81</v>
      </c>
    </row>
    <row r="124" spans="1:19" x14ac:dyDescent="0.3">
      <c r="A124" s="2" t="s">
        <v>256</v>
      </c>
      <c r="B124" s="3">
        <v>45366</v>
      </c>
      <c r="C124" s="3">
        <v>45368</v>
      </c>
      <c r="D124" s="2" t="s">
        <v>52</v>
      </c>
      <c r="E124" s="2">
        <v>123</v>
      </c>
      <c r="F124" s="2" t="s">
        <v>221</v>
      </c>
      <c r="G124" s="2" t="s">
        <v>7</v>
      </c>
      <c r="H124" s="2" t="s">
        <v>8</v>
      </c>
      <c r="I124" s="2" t="s">
        <v>40</v>
      </c>
      <c r="J124" s="2" t="s">
        <v>41</v>
      </c>
      <c r="K124" s="2" t="s">
        <v>79</v>
      </c>
      <c r="L124" s="2" t="s">
        <v>73</v>
      </c>
      <c r="M124" s="2" t="s">
        <v>83</v>
      </c>
      <c r="N124" s="2" t="s">
        <v>102</v>
      </c>
      <c r="O124" s="2">
        <v>9906</v>
      </c>
      <c r="P124" s="2">
        <v>4</v>
      </c>
      <c r="Q124" s="2">
        <v>0.15</v>
      </c>
      <c r="R124" s="2">
        <v>297.18</v>
      </c>
      <c r="S124" s="2"/>
    </row>
    <row r="125" spans="1:19" x14ac:dyDescent="0.3">
      <c r="A125" s="2" t="s">
        <v>257</v>
      </c>
      <c r="B125" s="3">
        <v>45342</v>
      </c>
      <c r="C125" s="3">
        <v>45345</v>
      </c>
      <c r="D125" s="2" t="s">
        <v>52</v>
      </c>
      <c r="E125" s="2">
        <v>124</v>
      </c>
      <c r="F125" s="2" t="s">
        <v>101</v>
      </c>
      <c r="G125" s="2" t="s">
        <v>11</v>
      </c>
      <c r="H125" s="2" t="s">
        <v>8</v>
      </c>
      <c r="I125" s="2" t="s">
        <v>9</v>
      </c>
      <c r="J125" s="2" t="s">
        <v>9</v>
      </c>
      <c r="K125" s="2" t="s">
        <v>76</v>
      </c>
      <c r="L125" s="2" t="s">
        <v>69</v>
      </c>
      <c r="M125" s="2" t="s">
        <v>80</v>
      </c>
      <c r="N125" s="2" t="s">
        <v>81</v>
      </c>
      <c r="O125" s="2">
        <v>45284</v>
      </c>
      <c r="P125" s="2">
        <v>2</v>
      </c>
      <c r="Q125" s="2">
        <v>0.05</v>
      </c>
      <c r="R125" s="2">
        <v>2867.99</v>
      </c>
      <c r="S125" s="2"/>
    </row>
    <row r="126" spans="1:19" x14ac:dyDescent="0.3">
      <c r="A126" s="2" t="s">
        <v>258</v>
      </c>
      <c r="B126" s="3">
        <v>45453</v>
      </c>
      <c r="C126" s="3">
        <v>45455</v>
      </c>
      <c r="D126" s="2" t="s">
        <v>52</v>
      </c>
      <c r="E126" s="2">
        <v>125</v>
      </c>
      <c r="F126" s="2" t="s">
        <v>182</v>
      </c>
      <c r="G126" s="2" t="s">
        <v>7</v>
      </c>
      <c r="H126" s="2" t="s">
        <v>8</v>
      </c>
      <c r="I126" s="2" t="s">
        <v>9</v>
      </c>
      <c r="J126" s="2" t="s">
        <v>9</v>
      </c>
      <c r="K126" s="2" t="s">
        <v>64</v>
      </c>
      <c r="L126" s="2" t="s">
        <v>65</v>
      </c>
      <c r="M126" s="2" t="s">
        <v>66</v>
      </c>
      <c r="N126" s="2" t="s">
        <v>67</v>
      </c>
      <c r="O126" s="2">
        <v>36077</v>
      </c>
      <c r="P126" s="2">
        <v>1</v>
      </c>
      <c r="Q126" s="2">
        <v>0.15</v>
      </c>
      <c r="R126" s="2">
        <v>1082.31</v>
      </c>
      <c r="S126" s="2"/>
    </row>
    <row r="127" spans="1:19" x14ac:dyDescent="0.3">
      <c r="A127" s="2" t="s">
        <v>259</v>
      </c>
      <c r="B127" s="3">
        <v>45403</v>
      </c>
      <c r="C127" s="3">
        <v>45406</v>
      </c>
      <c r="D127" s="2" t="s">
        <v>49</v>
      </c>
      <c r="E127" s="2">
        <v>126</v>
      </c>
      <c r="F127" s="2" t="s">
        <v>108</v>
      </c>
      <c r="G127" s="2" t="s">
        <v>16</v>
      </c>
      <c r="H127" s="2" t="s">
        <v>12</v>
      </c>
      <c r="I127" s="2" t="s">
        <v>28</v>
      </c>
      <c r="J127" s="2" t="s">
        <v>29</v>
      </c>
      <c r="K127" s="2" t="s">
        <v>76</v>
      </c>
      <c r="L127" s="2" t="s">
        <v>69</v>
      </c>
      <c r="M127" s="2" t="s">
        <v>80</v>
      </c>
      <c r="N127" s="2" t="s">
        <v>81</v>
      </c>
      <c r="O127" s="2">
        <v>65590</v>
      </c>
      <c r="P127" s="2">
        <v>6</v>
      </c>
      <c r="Q127" s="2">
        <v>0</v>
      </c>
      <c r="R127" s="2">
        <v>5247.2</v>
      </c>
      <c r="S127" s="2"/>
    </row>
    <row r="128" spans="1:19" x14ac:dyDescent="0.3">
      <c r="A128" s="2" t="s">
        <v>260</v>
      </c>
      <c r="B128" s="3">
        <v>45306</v>
      </c>
      <c r="C128" s="3">
        <v>45310</v>
      </c>
      <c r="D128" s="2" t="s">
        <v>49</v>
      </c>
      <c r="E128" s="2">
        <v>127</v>
      </c>
      <c r="F128" s="2" t="s">
        <v>107</v>
      </c>
      <c r="G128" s="2" t="s">
        <v>7</v>
      </c>
      <c r="H128" s="2" t="s">
        <v>17</v>
      </c>
      <c r="I128" s="2" t="s">
        <v>18</v>
      </c>
      <c r="J128" s="2" t="s">
        <v>19</v>
      </c>
      <c r="K128" s="2" t="s">
        <v>64</v>
      </c>
      <c r="L128" s="2" t="s">
        <v>65</v>
      </c>
      <c r="M128" s="2" t="s">
        <v>66</v>
      </c>
      <c r="N128" s="2" t="s">
        <v>67</v>
      </c>
      <c r="O128" s="2">
        <v>6957</v>
      </c>
      <c r="P128" s="2">
        <v>1</v>
      </c>
      <c r="Q128" s="2">
        <v>0</v>
      </c>
      <c r="R128" s="2">
        <v>556.55999999999995</v>
      </c>
      <c r="S128" s="2"/>
    </row>
    <row r="129" spans="1:19" x14ac:dyDescent="0.3">
      <c r="A129" s="2" t="s">
        <v>261</v>
      </c>
      <c r="B129" s="3">
        <v>45420</v>
      </c>
      <c r="C129" s="3">
        <v>45424</v>
      </c>
      <c r="D129" s="2" t="s">
        <v>55</v>
      </c>
      <c r="E129" s="2">
        <v>128</v>
      </c>
      <c r="F129" s="2" t="s">
        <v>10</v>
      </c>
      <c r="G129" s="2" t="s">
        <v>16</v>
      </c>
      <c r="H129" s="2" t="s">
        <v>8</v>
      </c>
      <c r="I129" s="2" t="s">
        <v>40</v>
      </c>
      <c r="J129" s="2" t="s">
        <v>41</v>
      </c>
      <c r="K129" s="2" t="s">
        <v>72</v>
      </c>
      <c r="L129" s="2" t="s">
        <v>73</v>
      </c>
      <c r="M129" s="2" t="s">
        <v>74</v>
      </c>
      <c r="N129" s="2" t="s">
        <v>75</v>
      </c>
      <c r="O129" s="2">
        <v>69734</v>
      </c>
      <c r="P129" s="2">
        <v>8</v>
      </c>
      <c r="Q129" s="2">
        <v>0.2</v>
      </c>
      <c r="R129" s="2">
        <v>929.79</v>
      </c>
      <c r="S129" s="2"/>
    </row>
    <row r="130" spans="1:19" x14ac:dyDescent="0.3">
      <c r="A130" s="2" t="s">
        <v>262</v>
      </c>
      <c r="B130" s="3">
        <v>45332</v>
      </c>
      <c r="C130" s="3">
        <v>45334</v>
      </c>
      <c r="D130" s="2" t="s">
        <v>47</v>
      </c>
      <c r="E130" s="2">
        <v>129</v>
      </c>
      <c r="F130" s="2" t="s">
        <v>193</v>
      </c>
      <c r="G130" s="2" t="s">
        <v>11</v>
      </c>
      <c r="H130" s="2" t="s">
        <v>12</v>
      </c>
      <c r="I130" s="2" t="s">
        <v>28</v>
      </c>
      <c r="J130" s="2" t="s">
        <v>29</v>
      </c>
      <c r="K130" s="2" t="s">
        <v>79</v>
      </c>
      <c r="L130" s="2" t="s">
        <v>73</v>
      </c>
      <c r="M130" s="2" t="s">
        <v>83</v>
      </c>
      <c r="N130" s="2" t="s">
        <v>102</v>
      </c>
      <c r="O130" s="2">
        <v>42401</v>
      </c>
      <c r="P130" s="2">
        <v>9</v>
      </c>
      <c r="Q130" s="2">
        <v>0</v>
      </c>
      <c r="R130" s="2">
        <v>3392.08</v>
      </c>
      <c r="S130" s="2"/>
    </row>
    <row r="131" spans="1:19" x14ac:dyDescent="0.3">
      <c r="A131" s="2" t="s">
        <v>263</v>
      </c>
      <c r="B131" s="3">
        <v>45309</v>
      </c>
      <c r="C131" s="3">
        <v>45311</v>
      </c>
      <c r="D131" s="2" t="s">
        <v>55</v>
      </c>
      <c r="E131" s="2">
        <v>130</v>
      </c>
      <c r="F131" s="2" t="s">
        <v>118</v>
      </c>
      <c r="G131" s="2" t="s">
        <v>7</v>
      </c>
      <c r="H131" s="2" t="s">
        <v>8</v>
      </c>
      <c r="I131" s="2" t="s">
        <v>9</v>
      </c>
      <c r="J131" s="2" t="s">
        <v>9</v>
      </c>
      <c r="K131" s="2" t="s">
        <v>64</v>
      </c>
      <c r="L131" s="2" t="s">
        <v>65</v>
      </c>
      <c r="M131" s="2" t="s">
        <v>66</v>
      </c>
      <c r="N131" s="2" t="s">
        <v>67</v>
      </c>
      <c r="O131" s="2">
        <v>29566</v>
      </c>
      <c r="P131" s="2">
        <v>8</v>
      </c>
      <c r="Q131" s="2">
        <v>0</v>
      </c>
      <c r="R131" s="2">
        <v>2365.2800000000002</v>
      </c>
      <c r="S131" s="2"/>
    </row>
    <row r="132" spans="1:19" x14ac:dyDescent="0.3">
      <c r="A132" s="2" t="s">
        <v>264</v>
      </c>
      <c r="B132" s="3">
        <v>45418</v>
      </c>
      <c r="C132" s="3">
        <v>45420</v>
      </c>
      <c r="D132" s="2" t="s">
        <v>52</v>
      </c>
      <c r="E132" s="2">
        <v>131</v>
      </c>
      <c r="F132" s="2" t="s">
        <v>138</v>
      </c>
      <c r="G132" s="2" t="s">
        <v>7</v>
      </c>
      <c r="H132" s="2" t="s">
        <v>8</v>
      </c>
      <c r="I132" s="2" t="s">
        <v>40</v>
      </c>
      <c r="J132" s="2" t="s">
        <v>41</v>
      </c>
      <c r="K132" s="2" t="s">
        <v>64</v>
      </c>
      <c r="L132" s="2" t="s">
        <v>65</v>
      </c>
      <c r="M132" s="2" t="s">
        <v>66</v>
      </c>
      <c r="N132" s="2" t="s">
        <v>67</v>
      </c>
      <c r="O132" s="2">
        <v>38925</v>
      </c>
      <c r="P132" s="2">
        <v>1</v>
      </c>
      <c r="Q132" s="2">
        <v>0</v>
      </c>
      <c r="R132" s="2">
        <v>3114</v>
      </c>
      <c r="S132" s="2"/>
    </row>
    <row r="133" spans="1:19" x14ac:dyDescent="0.3">
      <c r="A133" s="2" t="s">
        <v>265</v>
      </c>
      <c r="B133" s="3">
        <v>45444</v>
      </c>
      <c r="C133" s="3">
        <v>45448</v>
      </c>
      <c r="D133" s="2" t="s">
        <v>47</v>
      </c>
      <c r="E133" s="2">
        <v>132</v>
      </c>
      <c r="F133" s="2" t="s">
        <v>180</v>
      </c>
      <c r="G133" s="2" t="s">
        <v>16</v>
      </c>
      <c r="H133" s="2" t="s">
        <v>12</v>
      </c>
      <c r="I133" s="2" t="s">
        <v>13</v>
      </c>
      <c r="J133" s="2" t="s">
        <v>14</v>
      </c>
      <c r="K133" s="2" t="s">
        <v>76</v>
      </c>
      <c r="L133" s="2" t="s">
        <v>69</v>
      </c>
      <c r="M133" s="2" t="s">
        <v>80</v>
      </c>
      <c r="N133" s="2" t="s">
        <v>81</v>
      </c>
      <c r="O133" s="2">
        <v>46063</v>
      </c>
      <c r="P133" s="2">
        <v>3</v>
      </c>
      <c r="Q133" s="2">
        <v>0.15</v>
      </c>
      <c r="R133" s="2">
        <v>1381.89</v>
      </c>
      <c r="S133" s="2"/>
    </row>
    <row r="134" spans="1:19" x14ac:dyDescent="0.3">
      <c r="A134" s="2" t="s">
        <v>266</v>
      </c>
      <c r="B134" s="3">
        <v>45464</v>
      </c>
      <c r="C134" s="3">
        <v>45469</v>
      </c>
      <c r="D134" s="2" t="s">
        <v>47</v>
      </c>
      <c r="E134" s="2">
        <v>133</v>
      </c>
      <c r="F134" s="2" t="s">
        <v>205</v>
      </c>
      <c r="G134" s="2" t="s">
        <v>7</v>
      </c>
      <c r="H134" s="2" t="s">
        <v>17</v>
      </c>
      <c r="I134" s="2" t="s">
        <v>18</v>
      </c>
      <c r="J134" s="2" t="s">
        <v>19</v>
      </c>
      <c r="K134" s="2" t="s">
        <v>68</v>
      </c>
      <c r="L134" s="2" t="s">
        <v>69</v>
      </c>
      <c r="M134" s="2" t="s">
        <v>70</v>
      </c>
      <c r="N134" s="2" t="s">
        <v>71</v>
      </c>
      <c r="O134" s="2">
        <v>57706</v>
      </c>
      <c r="P134" s="2">
        <v>8</v>
      </c>
      <c r="Q134" s="2">
        <v>0</v>
      </c>
      <c r="R134" s="2">
        <v>4616.4799999999996</v>
      </c>
      <c r="S134" s="2"/>
    </row>
    <row r="135" spans="1:19" x14ac:dyDescent="0.3">
      <c r="A135" s="2" t="s">
        <v>267</v>
      </c>
      <c r="B135" s="3">
        <v>45454</v>
      </c>
      <c r="C135" s="3">
        <v>45456</v>
      </c>
      <c r="D135" s="2" t="s">
        <v>47</v>
      </c>
      <c r="E135" s="2">
        <v>134</v>
      </c>
      <c r="F135" s="2" t="s">
        <v>126</v>
      </c>
      <c r="G135" s="2" t="s">
        <v>11</v>
      </c>
      <c r="H135" s="2" t="s">
        <v>17</v>
      </c>
      <c r="I135" s="2" t="s">
        <v>18</v>
      </c>
      <c r="J135" s="2" t="s">
        <v>19</v>
      </c>
      <c r="K135" s="2" t="s">
        <v>79</v>
      </c>
      <c r="L135" s="2" t="s">
        <v>73</v>
      </c>
      <c r="M135" s="2" t="s">
        <v>83</v>
      </c>
      <c r="N135" s="2" t="s">
        <v>102</v>
      </c>
      <c r="O135" s="2">
        <v>29550</v>
      </c>
      <c r="P135" s="2">
        <v>3</v>
      </c>
      <c r="Q135" s="2">
        <v>0</v>
      </c>
      <c r="R135" s="2">
        <v>2364</v>
      </c>
      <c r="S135" s="2"/>
    </row>
    <row r="136" spans="1:19" x14ac:dyDescent="0.3">
      <c r="A136" s="2" t="s">
        <v>268</v>
      </c>
      <c r="B136" s="3">
        <v>45351</v>
      </c>
      <c r="C136" s="3">
        <v>45354</v>
      </c>
      <c r="D136" s="2" t="s">
        <v>55</v>
      </c>
      <c r="E136" s="2">
        <v>135</v>
      </c>
      <c r="F136" s="2" t="s">
        <v>182</v>
      </c>
      <c r="G136" s="2" t="s">
        <v>16</v>
      </c>
      <c r="H136" s="2" t="s">
        <v>17</v>
      </c>
      <c r="I136" s="2" t="s">
        <v>18</v>
      </c>
      <c r="J136" s="2" t="s">
        <v>19</v>
      </c>
      <c r="K136" s="2" t="s">
        <v>76</v>
      </c>
      <c r="L136" s="2" t="s">
        <v>69</v>
      </c>
      <c r="M136" s="2" t="s">
        <v>80</v>
      </c>
      <c r="N136" s="2" t="s">
        <v>81</v>
      </c>
      <c r="O136" s="2">
        <v>10751</v>
      </c>
      <c r="P136" s="2">
        <v>1</v>
      </c>
      <c r="Q136" s="2">
        <v>0.2</v>
      </c>
      <c r="R136" s="2">
        <v>143.35</v>
      </c>
      <c r="S136" s="2"/>
    </row>
    <row r="137" spans="1:19" x14ac:dyDescent="0.3">
      <c r="A137" s="2" t="s">
        <v>269</v>
      </c>
      <c r="B137" s="3">
        <v>45318</v>
      </c>
      <c r="C137" s="3">
        <v>45319</v>
      </c>
      <c r="D137" s="2" t="s">
        <v>49</v>
      </c>
      <c r="E137" s="2">
        <v>136</v>
      </c>
      <c r="F137" s="2" t="s">
        <v>118</v>
      </c>
      <c r="G137" s="2" t="s">
        <v>11</v>
      </c>
      <c r="H137" s="2" t="s">
        <v>17</v>
      </c>
      <c r="I137" s="2" t="s">
        <v>18</v>
      </c>
      <c r="J137" s="2" t="s">
        <v>19</v>
      </c>
      <c r="K137" s="2" t="s">
        <v>68</v>
      </c>
      <c r="L137" s="2" t="s">
        <v>69</v>
      </c>
      <c r="M137" s="2" t="s">
        <v>70</v>
      </c>
      <c r="N137" s="2" t="s">
        <v>71</v>
      </c>
      <c r="O137" s="2">
        <v>46931</v>
      </c>
      <c r="P137" s="2">
        <v>8</v>
      </c>
      <c r="Q137" s="2">
        <v>0.15</v>
      </c>
      <c r="R137" s="2">
        <v>1407.93</v>
      </c>
      <c r="S137" s="2"/>
    </row>
    <row r="138" spans="1:19" x14ac:dyDescent="0.3">
      <c r="A138" s="2" t="s">
        <v>270</v>
      </c>
      <c r="B138" s="3">
        <v>45448</v>
      </c>
      <c r="C138" s="3">
        <v>45451</v>
      </c>
      <c r="D138" s="2" t="s">
        <v>52</v>
      </c>
      <c r="E138" s="2">
        <v>137</v>
      </c>
      <c r="F138" s="2" t="s">
        <v>103</v>
      </c>
      <c r="G138" s="2" t="s">
        <v>7</v>
      </c>
      <c r="H138" s="2" t="s">
        <v>12</v>
      </c>
      <c r="I138" s="2" t="s">
        <v>28</v>
      </c>
      <c r="J138" s="2" t="s">
        <v>29</v>
      </c>
      <c r="K138" s="2" t="s">
        <v>79</v>
      </c>
      <c r="L138" s="2" t="s">
        <v>73</v>
      </c>
      <c r="M138" s="2" t="s">
        <v>83</v>
      </c>
      <c r="N138" s="2" t="s">
        <v>102</v>
      </c>
      <c r="O138" s="2">
        <v>31864</v>
      </c>
      <c r="P138" s="2">
        <v>1</v>
      </c>
      <c r="Q138" s="2">
        <v>0.05</v>
      </c>
      <c r="R138" s="2">
        <v>2018.05</v>
      </c>
      <c r="S138" s="2"/>
    </row>
    <row r="139" spans="1:19" x14ac:dyDescent="0.3">
      <c r="A139" s="2" t="s">
        <v>271</v>
      </c>
      <c r="B139" s="3">
        <v>45303</v>
      </c>
      <c r="C139" s="3">
        <v>45307</v>
      </c>
      <c r="D139" s="2" t="s">
        <v>55</v>
      </c>
      <c r="E139" s="2">
        <v>138</v>
      </c>
      <c r="F139" s="2" t="s">
        <v>138</v>
      </c>
      <c r="G139" s="2" t="s">
        <v>7</v>
      </c>
      <c r="H139" s="2" t="s">
        <v>12</v>
      </c>
      <c r="I139" s="2" t="s">
        <v>13</v>
      </c>
      <c r="J139" s="2" t="s">
        <v>14</v>
      </c>
      <c r="K139" s="2" t="s">
        <v>79</v>
      </c>
      <c r="L139" s="2" t="s">
        <v>73</v>
      </c>
      <c r="M139" s="2" t="s">
        <v>83</v>
      </c>
      <c r="N139" s="2" t="s">
        <v>102</v>
      </c>
      <c r="O139" s="2">
        <v>5706</v>
      </c>
      <c r="P139" s="2">
        <v>2</v>
      </c>
      <c r="Q139" s="2">
        <v>0.15</v>
      </c>
      <c r="R139" s="2">
        <v>171.18</v>
      </c>
      <c r="S139" s="2"/>
    </row>
    <row r="140" spans="1:19" x14ac:dyDescent="0.3">
      <c r="A140" s="2" t="s">
        <v>272</v>
      </c>
      <c r="B140" s="3">
        <v>45339</v>
      </c>
      <c r="C140" s="3">
        <v>45341</v>
      </c>
      <c r="D140" s="2" t="s">
        <v>55</v>
      </c>
      <c r="E140" s="2">
        <v>139</v>
      </c>
      <c r="F140" s="2" t="s">
        <v>205</v>
      </c>
      <c r="G140" s="2" t="s">
        <v>11</v>
      </c>
      <c r="H140" s="2" t="s">
        <v>17</v>
      </c>
      <c r="I140" s="2" t="s">
        <v>18</v>
      </c>
      <c r="J140" s="2" t="s">
        <v>19</v>
      </c>
      <c r="K140" s="2" t="s">
        <v>79</v>
      </c>
      <c r="L140" s="2" t="s">
        <v>73</v>
      </c>
      <c r="M140" s="2" t="s">
        <v>83</v>
      </c>
      <c r="N140" s="2" t="s">
        <v>102</v>
      </c>
      <c r="O140" s="2">
        <v>32473</v>
      </c>
      <c r="P140" s="2">
        <v>2</v>
      </c>
      <c r="Q140" s="2">
        <v>0.1</v>
      </c>
      <c r="R140" s="2">
        <v>1515.41</v>
      </c>
      <c r="S140" s="2"/>
    </row>
    <row r="141" spans="1:19" x14ac:dyDescent="0.3">
      <c r="A141" s="2" t="s">
        <v>273</v>
      </c>
      <c r="B141" s="3">
        <v>45315</v>
      </c>
      <c r="C141" s="3">
        <v>45317</v>
      </c>
      <c r="D141" s="2" t="s">
        <v>49</v>
      </c>
      <c r="E141" s="2">
        <v>140</v>
      </c>
      <c r="F141" s="2" t="s">
        <v>163</v>
      </c>
      <c r="G141" s="2" t="s">
        <v>11</v>
      </c>
      <c r="H141" s="2" t="s">
        <v>12</v>
      </c>
      <c r="I141" s="2" t="s">
        <v>28</v>
      </c>
      <c r="J141" s="2" t="s">
        <v>29</v>
      </c>
      <c r="K141" s="2" t="s">
        <v>76</v>
      </c>
      <c r="L141" s="2" t="s">
        <v>69</v>
      </c>
      <c r="M141" s="2" t="s">
        <v>80</v>
      </c>
      <c r="N141" s="2" t="s">
        <v>81</v>
      </c>
      <c r="O141" s="2">
        <v>29130</v>
      </c>
      <c r="P141" s="2">
        <v>6</v>
      </c>
      <c r="Q141" s="2">
        <v>0.1</v>
      </c>
      <c r="R141" s="2">
        <v>1359.4</v>
      </c>
      <c r="S141" s="2"/>
    </row>
    <row r="142" spans="1:19" x14ac:dyDescent="0.3">
      <c r="A142" s="2" t="s">
        <v>274</v>
      </c>
      <c r="B142" s="3">
        <v>45461</v>
      </c>
      <c r="C142" s="3">
        <v>45465</v>
      </c>
      <c r="D142" s="2" t="s">
        <v>55</v>
      </c>
      <c r="E142" s="2">
        <v>141</v>
      </c>
      <c r="F142" s="2" t="s">
        <v>126</v>
      </c>
      <c r="G142" s="2" t="s">
        <v>7</v>
      </c>
      <c r="H142" s="2" t="s">
        <v>12</v>
      </c>
      <c r="I142" s="2" t="s">
        <v>13</v>
      </c>
      <c r="J142" s="2" t="s">
        <v>14</v>
      </c>
      <c r="K142" s="2" t="s">
        <v>64</v>
      </c>
      <c r="L142" s="2" t="s">
        <v>65</v>
      </c>
      <c r="M142" s="2" t="s">
        <v>66</v>
      </c>
      <c r="N142" s="2" t="s">
        <v>67</v>
      </c>
      <c r="O142" s="2">
        <v>35421</v>
      </c>
      <c r="P142" s="2">
        <v>2</v>
      </c>
      <c r="Q142" s="2">
        <v>0.15</v>
      </c>
      <c r="R142" s="2">
        <v>1062.6300000000001</v>
      </c>
      <c r="S142" s="2"/>
    </row>
    <row r="143" spans="1:19" x14ac:dyDescent="0.3">
      <c r="A143" s="2" t="s">
        <v>275</v>
      </c>
      <c r="B143" s="3">
        <v>45305</v>
      </c>
      <c r="C143" s="3">
        <v>45309</v>
      </c>
      <c r="D143" s="2" t="s">
        <v>47</v>
      </c>
      <c r="E143" s="2">
        <v>142</v>
      </c>
      <c r="F143" s="2" t="s">
        <v>200</v>
      </c>
      <c r="G143" s="2" t="s">
        <v>7</v>
      </c>
      <c r="H143" s="2" t="s">
        <v>21</v>
      </c>
      <c r="I143" s="2" t="s">
        <v>22</v>
      </c>
      <c r="J143" s="2" t="s">
        <v>23</v>
      </c>
      <c r="K143" s="2" t="s">
        <v>76</v>
      </c>
      <c r="L143" s="2" t="s">
        <v>69</v>
      </c>
      <c r="M143" s="2" t="s">
        <v>80</v>
      </c>
      <c r="N143" s="2" t="s">
        <v>81</v>
      </c>
      <c r="O143" s="2">
        <v>24888</v>
      </c>
      <c r="P143" s="2">
        <v>4</v>
      </c>
      <c r="Q143" s="2">
        <v>0</v>
      </c>
      <c r="R143" s="2">
        <v>1991.04</v>
      </c>
      <c r="S143" s="2"/>
    </row>
    <row r="144" spans="1:19" x14ac:dyDescent="0.3">
      <c r="A144" s="2" t="s">
        <v>276</v>
      </c>
      <c r="B144" s="3">
        <v>45388</v>
      </c>
      <c r="C144" s="3">
        <v>45392</v>
      </c>
      <c r="D144" s="2" t="s">
        <v>52</v>
      </c>
      <c r="E144" s="2">
        <v>143</v>
      </c>
      <c r="F144" s="2" t="s">
        <v>120</v>
      </c>
      <c r="G144" s="2" t="s">
        <v>16</v>
      </c>
      <c r="H144" s="2" t="s">
        <v>8</v>
      </c>
      <c r="I144" s="2" t="s">
        <v>40</v>
      </c>
      <c r="J144" s="2" t="s">
        <v>41</v>
      </c>
      <c r="K144" s="2" t="s">
        <v>72</v>
      </c>
      <c r="L144" s="2" t="s">
        <v>73</v>
      </c>
      <c r="M144" s="2" t="s">
        <v>74</v>
      </c>
      <c r="N144" s="2" t="s">
        <v>75</v>
      </c>
      <c r="O144" s="2">
        <v>50872</v>
      </c>
      <c r="P144" s="2">
        <v>4</v>
      </c>
      <c r="Q144" s="2">
        <v>0.1</v>
      </c>
      <c r="R144" s="2">
        <v>2374.0300000000002</v>
      </c>
      <c r="S144" s="2"/>
    </row>
    <row r="145" spans="1:19" x14ac:dyDescent="0.3">
      <c r="A145" s="2" t="s">
        <v>277</v>
      </c>
      <c r="B145" s="3">
        <v>45458</v>
      </c>
      <c r="C145" s="3">
        <v>45460</v>
      </c>
      <c r="D145" s="2" t="s">
        <v>47</v>
      </c>
      <c r="E145" s="2">
        <v>144</v>
      </c>
      <c r="F145" s="2" t="s">
        <v>142</v>
      </c>
      <c r="G145" s="2" t="s">
        <v>11</v>
      </c>
      <c r="H145" s="2" t="s">
        <v>17</v>
      </c>
      <c r="I145" s="2" t="s">
        <v>18</v>
      </c>
      <c r="J145" s="2" t="s">
        <v>19</v>
      </c>
      <c r="K145" s="2" t="s">
        <v>79</v>
      </c>
      <c r="L145" s="2" t="s">
        <v>73</v>
      </c>
      <c r="M145" s="2" t="s">
        <v>83</v>
      </c>
      <c r="N145" s="2" t="s">
        <v>102</v>
      </c>
      <c r="O145" s="2">
        <v>59488</v>
      </c>
      <c r="P145" s="2">
        <v>9</v>
      </c>
      <c r="Q145" s="2">
        <v>0</v>
      </c>
      <c r="R145" s="2">
        <v>4759.04</v>
      </c>
      <c r="S145" s="2"/>
    </row>
    <row r="146" spans="1:19" x14ac:dyDescent="0.3">
      <c r="A146" s="2" t="s">
        <v>278</v>
      </c>
      <c r="B146" s="3">
        <v>45438</v>
      </c>
      <c r="C146" s="3">
        <v>45440</v>
      </c>
      <c r="D146" s="2" t="s">
        <v>55</v>
      </c>
      <c r="E146" s="2">
        <v>145</v>
      </c>
      <c r="F146" s="2" t="s">
        <v>180</v>
      </c>
      <c r="G146" s="2" t="s">
        <v>16</v>
      </c>
      <c r="H146" s="2" t="s">
        <v>17</v>
      </c>
      <c r="I146" s="2" t="s">
        <v>18</v>
      </c>
      <c r="J146" s="2" t="s">
        <v>19</v>
      </c>
      <c r="K146" s="2" t="s">
        <v>68</v>
      </c>
      <c r="L146" s="2" t="s">
        <v>69</v>
      </c>
      <c r="M146" s="2" t="s">
        <v>70</v>
      </c>
      <c r="N146" s="2" t="s">
        <v>71</v>
      </c>
      <c r="O146" s="2">
        <v>59231</v>
      </c>
      <c r="P146" s="2">
        <v>9</v>
      </c>
      <c r="Q146" s="2">
        <v>0.05</v>
      </c>
      <c r="R146" s="2">
        <v>3751.3</v>
      </c>
      <c r="S146" s="2"/>
    </row>
    <row r="147" spans="1:19" x14ac:dyDescent="0.3">
      <c r="A147" s="2" t="s">
        <v>279</v>
      </c>
      <c r="B147" s="3">
        <v>45312</v>
      </c>
      <c r="C147" s="3">
        <v>45316</v>
      </c>
      <c r="D147" s="2" t="s">
        <v>47</v>
      </c>
      <c r="E147" s="2">
        <v>146</v>
      </c>
      <c r="F147" s="2" t="s">
        <v>15</v>
      </c>
      <c r="G147" s="2" t="s">
        <v>16</v>
      </c>
      <c r="H147" s="2" t="s">
        <v>21</v>
      </c>
      <c r="I147" s="2" t="s">
        <v>22</v>
      </c>
      <c r="J147" s="2" t="s">
        <v>23</v>
      </c>
      <c r="K147" s="2" t="s">
        <v>79</v>
      </c>
      <c r="L147" s="2" t="s">
        <v>73</v>
      </c>
      <c r="M147" s="2" t="s">
        <v>83</v>
      </c>
      <c r="N147" s="2" t="s">
        <v>102</v>
      </c>
      <c r="O147" s="2">
        <v>62070</v>
      </c>
      <c r="P147" s="2">
        <v>7</v>
      </c>
      <c r="Q147" s="2">
        <v>0</v>
      </c>
      <c r="R147" s="2">
        <v>4965.6000000000004</v>
      </c>
      <c r="S147" s="2"/>
    </row>
    <row r="148" spans="1:19" x14ac:dyDescent="0.3">
      <c r="A148" s="2" t="s">
        <v>280</v>
      </c>
      <c r="B148" s="3">
        <v>45445</v>
      </c>
      <c r="C148" s="3">
        <v>45447</v>
      </c>
      <c r="D148" s="2" t="s">
        <v>55</v>
      </c>
      <c r="E148" s="2">
        <v>147</v>
      </c>
      <c r="F148" s="2" t="s">
        <v>107</v>
      </c>
      <c r="G148" s="2" t="s">
        <v>16</v>
      </c>
      <c r="H148" s="2" t="s">
        <v>17</v>
      </c>
      <c r="I148" s="2" t="s">
        <v>18</v>
      </c>
      <c r="J148" s="2" t="s">
        <v>19</v>
      </c>
      <c r="K148" s="2" t="s">
        <v>79</v>
      </c>
      <c r="L148" s="2" t="s">
        <v>73</v>
      </c>
      <c r="M148" s="2" t="s">
        <v>83</v>
      </c>
      <c r="N148" s="2" t="s">
        <v>102</v>
      </c>
      <c r="O148" s="2">
        <v>25113</v>
      </c>
      <c r="P148" s="2">
        <v>9</v>
      </c>
      <c r="Q148" s="2">
        <v>0.15</v>
      </c>
      <c r="R148" s="2">
        <v>753.39</v>
      </c>
      <c r="S148" s="2"/>
    </row>
    <row r="149" spans="1:19" x14ac:dyDescent="0.3">
      <c r="A149" s="2" t="s">
        <v>281</v>
      </c>
      <c r="B149" s="3">
        <v>45437</v>
      </c>
      <c r="C149" s="3">
        <v>45439</v>
      </c>
      <c r="D149" s="2" t="s">
        <v>52</v>
      </c>
      <c r="E149" s="2">
        <v>148</v>
      </c>
      <c r="F149" s="2" t="s">
        <v>134</v>
      </c>
      <c r="G149" s="2" t="s">
        <v>7</v>
      </c>
      <c r="H149" s="2" t="s">
        <v>8</v>
      </c>
      <c r="I149" s="2" t="s">
        <v>40</v>
      </c>
      <c r="J149" s="2" t="s">
        <v>41</v>
      </c>
      <c r="K149" s="2" t="s">
        <v>72</v>
      </c>
      <c r="L149" s="2" t="s">
        <v>73</v>
      </c>
      <c r="M149" s="2" t="s">
        <v>74</v>
      </c>
      <c r="N149" s="2" t="s">
        <v>75</v>
      </c>
      <c r="O149" s="2">
        <v>3298</v>
      </c>
      <c r="P149" s="2">
        <v>9</v>
      </c>
      <c r="Q149" s="2">
        <v>0.05</v>
      </c>
      <c r="R149" s="2">
        <v>208.87</v>
      </c>
      <c r="S149" s="2"/>
    </row>
    <row r="150" spans="1:19" x14ac:dyDescent="0.3">
      <c r="A150" s="2" t="s">
        <v>282</v>
      </c>
      <c r="B150" s="3">
        <v>45383</v>
      </c>
      <c r="C150" s="3">
        <v>45388</v>
      </c>
      <c r="D150" s="2" t="s">
        <v>55</v>
      </c>
      <c r="E150" s="2">
        <v>149</v>
      </c>
      <c r="F150" s="2" t="s">
        <v>153</v>
      </c>
      <c r="G150" s="2" t="s">
        <v>7</v>
      </c>
      <c r="H150" s="2" t="s">
        <v>17</v>
      </c>
      <c r="I150" s="2" t="s">
        <v>18</v>
      </c>
      <c r="J150" s="2" t="s">
        <v>19</v>
      </c>
      <c r="K150" s="2" t="s">
        <v>76</v>
      </c>
      <c r="L150" s="2" t="s">
        <v>69</v>
      </c>
      <c r="M150" s="2" t="s">
        <v>80</v>
      </c>
      <c r="N150" s="2" t="s">
        <v>81</v>
      </c>
      <c r="O150" s="2">
        <v>30620</v>
      </c>
      <c r="P150" s="2">
        <v>3</v>
      </c>
      <c r="Q150" s="2">
        <v>0.1</v>
      </c>
      <c r="R150" s="2">
        <v>1428.93</v>
      </c>
      <c r="S150" s="2"/>
    </row>
    <row r="151" spans="1:19" x14ac:dyDescent="0.3">
      <c r="A151" s="2" t="s">
        <v>283</v>
      </c>
      <c r="B151" s="3">
        <v>45310</v>
      </c>
      <c r="C151" s="3">
        <v>45311</v>
      </c>
      <c r="D151" s="2" t="s">
        <v>49</v>
      </c>
      <c r="E151" s="2">
        <v>150</v>
      </c>
      <c r="F151" s="2" t="s">
        <v>200</v>
      </c>
      <c r="G151" s="2" t="s">
        <v>16</v>
      </c>
      <c r="H151" s="2" t="s">
        <v>17</v>
      </c>
      <c r="I151" s="2" t="s">
        <v>18</v>
      </c>
      <c r="J151" s="2" t="s">
        <v>19</v>
      </c>
      <c r="K151" s="2" t="s">
        <v>72</v>
      </c>
      <c r="L151" s="2" t="s">
        <v>73</v>
      </c>
      <c r="M151" s="2" t="s">
        <v>74</v>
      </c>
      <c r="N151" s="2" t="s">
        <v>75</v>
      </c>
      <c r="O151" s="2">
        <v>41398</v>
      </c>
      <c r="P151" s="2">
        <v>9</v>
      </c>
      <c r="Q151" s="2">
        <v>0.1</v>
      </c>
      <c r="R151" s="2">
        <v>1931.91</v>
      </c>
      <c r="S151" s="2"/>
    </row>
    <row r="152" spans="1:19" x14ac:dyDescent="0.3">
      <c r="A152" s="2" t="s">
        <v>284</v>
      </c>
      <c r="B152" s="3">
        <v>45453</v>
      </c>
      <c r="C152" s="3">
        <v>45455</v>
      </c>
      <c r="D152" s="2" t="s">
        <v>55</v>
      </c>
      <c r="E152" s="2">
        <v>151</v>
      </c>
      <c r="F152" s="2" t="s">
        <v>285</v>
      </c>
      <c r="G152" s="2" t="s">
        <v>7</v>
      </c>
      <c r="H152" s="2" t="s">
        <v>12</v>
      </c>
      <c r="I152" s="2" t="s">
        <v>13</v>
      </c>
      <c r="J152" s="2" t="s">
        <v>14</v>
      </c>
      <c r="K152" s="2" t="s">
        <v>68</v>
      </c>
      <c r="L152" s="2" t="s">
        <v>69</v>
      </c>
      <c r="M152" s="2" t="s">
        <v>70</v>
      </c>
      <c r="N152" s="2" t="s">
        <v>71</v>
      </c>
      <c r="O152" s="2">
        <v>49453</v>
      </c>
      <c r="P152" s="2">
        <v>2</v>
      </c>
      <c r="Q152" s="2">
        <v>0.2</v>
      </c>
      <c r="R152" s="2">
        <v>659.37</v>
      </c>
      <c r="S152" s="2"/>
    </row>
    <row r="153" spans="1:19" x14ac:dyDescent="0.3">
      <c r="A153" s="2" t="s">
        <v>286</v>
      </c>
      <c r="B153" s="3">
        <v>45331</v>
      </c>
      <c r="C153" s="3">
        <v>45333</v>
      </c>
      <c r="D153" s="2" t="s">
        <v>49</v>
      </c>
      <c r="E153" s="2">
        <v>152</v>
      </c>
      <c r="F153" s="2" t="s">
        <v>101</v>
      </c>
      <c r="G153" s="2" t="s">
        <v>11</v>
      </c>
      <c r="H153" s="2" t="s">
        <v>8</v>
      </c>
      <c r="I153" s="2" t="s">
        <v>9</v>
      </c>
      <c r="J153" s="2" t="s">
        <v>9</v>
      </c>
      <c r="K153" s="2" t="s">
        <v>72</v>
      </c>
      <c r="L153" s="2" t="s">
        <v>73</v>
      </c>
      <c r="M153" s="2" t="s">
        <v>74</v>
      </c>
      <c r="N153" s="2" t="s">
        <v>75</v>
      </c>
      <c r="O153" s="2">
        <v>5648</v>
      </c>
      <c r="P153" s="2">
        <v>10</v>
      </c>
      <c r="Q153" s="2">
        <v>0.15</v>
      </c>
      <c r="R153" s="2">
        <v>169.44</v>
      </c>
      <c r="S153" s="2"/>
    </row>
    <row r="154" spans="1:19" x14ac:dyDescent="0.3">
      <c r="A154" s="2" t="s">
        <v>287</v>
      </c>
      <c r="B154" s="3">
        <v>45472</v>
      </c>
      <c r="C154" s="3">
        <v>45475</v>
      </c>
      <c r="D154" s="2" t="s">
        <v>49</v>
      </c>
      <c r="E154" s="2">
        <v>153</v>
      </c>
      <c r="F154" s="2" t="s">
        <v>231</v>
      </c>
      <c r="G154" s="2" t="s">
        <v>11</v>
      </c>
      <c r="H154" s="2" t="s">
        <v>17</v>
      </c>
      <c r="I154" s="2" t="s">
        <v>18</v>
      </c>
      <c r="J154" s="2" t="s">
        <v>19</v>
      </c>
      <c r="K154" s="2" t="s">
        <v>64</v>
      </c>
      <c r="L154" s="2" t="s">
        <v>65</v>
      </c>
      <c r="M154" s="2" t="s">
        <v>66</v>
      </c>
      <c r="N154" s="2" t="s">
        <v>67</v>
      </c>
      <c r="O154" s="2">
        <v>43881</v>
      </c>
      <c r="P154" s="2">
        <v>5</v>
      </c>
      <c r="Q154" s="2">
        <v>0.15</v>
      </c>
      <c r="R154" s="2">
        <v>1316.43</v>
      </c>
      <c r="S154" s="2"/>
    </row>
    <row r="155" spans="1:19" x14ac:dyDescent="0.3">
      <c r="A155" s="2" t="s">
        <v>288</v>
      </c>
      <c r="B155" s="3">
        <v>45374</v>
      </c>
      <c r="C155" s="3">
        <v>45376</v>
      </c>
      <c r="D155" s="2" t="s">
        <v>49</v>
      </c>
      <c r="E155" s="2">
        <v>154</v>
      </c>
      <c r="F155" s="2" t="s">
        <v>142</v>
      </c>
      <c r="G155" s="2" t="s">
        <v>7</v>
      </c>
      <c r="H155" s="2" t="s">
        <v>12</v>
      </c>
      <c r="I155" s="2" t="s">
        <v>13</v>
      </c>
      <c r="J155" s="2" t="s">
        <v>14</v>
      </c>
      <c r="K155" s="2" t="s">
        <v>79</v>
      </c>
      <c r="L155" s="2" t="s">
        <v>73</v>
      </c>
      <c r="M155" s="2" t="s">
        <v>83</v>
      </c>
      <c r="N155" s="2" t="s">
        <v>102</v>
      </c>
      <c r="O155" s="2">
        <v>49497</v>
      </c>
      <c r="P155" s="2">
        <v>1</v>
      </c>
      <c r="Q155" s="2">
        <v>0.1</v>
      </c>
      <c r="R155" s="2">
        <v>2309.86</v>
      </c>
      <c r="S155" s="2"/>
    </row>
    <row r="156" spans="1:19" x14ac:dyDescent="0.3">
      <c r="A156" s="2" t="s">
        <v>289</v>
      </c>
      <c r="B156" s="3">
        <v>45408</v>
      </c>
      <c r="C156" s="3">
        <v>45411</v>
      </c>
      <c r="D156" s="2" t="s">
        <v>49</v>
      </c>
      <c r="E156" s="2">
        <v>155</v>
      </c>
      <c r="F156" s="2" t="s">
        <v>142</v>
      </c>
      <c r="G156" s="2" t="s">
        <v>11</v>
      </c>
      <c r="H156" s="2" t="s">
        <v>8</v>
      </c>
      <c r="I156" s="2" t="s">
        <v>40</v>
      </c>
      <c r="J156" s="2" t="s">
        <v>41</v>
      </c>
      <c r="K156" s="2" t="s">
        <v>68</v>
      </c>
      <c r="L156" s="2" t="s">
        <v>69</v>
      </c>
      <c r="M156" s="2" t="s">
        <v>70</v>
      </c>
      <c r="N156" s="2" t="s">
        <v>71</v>
      </c>
      <c r="O156" s="2">
        <v>34383</v>
      </c>
      <c r="P156" s="2">
        <v>3</v>
      </c>
      <c r="Q156" s="2">
        <v>0.15</v>
      </c>
      <c r="R156" s="2">
        <v>1031.49</v>
      </c>
      <c r="S156" s="2"/>
    </row>
    <row r="157" spans="1:19" x14ac:dyDescent="0.3">
      <c r="A157" s="2" t="s">
        <v>290</v>
      </c>
      <c r="B157" s="3">
        <v>45295</v>
      </c>
      <c r="C157" s="3">
        <v>45299</v>
      </c>
      <c r="D157" s="2" t="s">
        <v>47</v>
      </c>
      <c r="E157" s="2">
        <v>156</v>
      </c>
      <c r="F157" s="2" t="s">
        <v>118</v>
      </c>
      <c r="G157" s="2" t="s">
        <v>7</v>
      </c>
      <c r="H157" s="2" t="s">
        <v>12</v>
      </c>
      <c r="I157" s="2" t="s">
        <v>28</v>
      </c>
      <c r="J157" s="2" t="s">
        <v>29</v>
      </c>
      <c r="K157" s="2" t="s">
        <v>79</v>
      </c>
      <c r="L157" s="2" t="s">
        <v>73</v>
      </c>
      <c r="M157" s="2" t="s">
        <v>83</v>
      </c>
      <c r="N157" s="2" t="s">
        <v>102</v>
      </c>
      <c r="O157" s="2">
        <v>46440</v>
      </c>
      <c r="P157" s="2">
        <v>10</v>
      </c>
      <c r="Q157" s="2">
        <v>0.05</v>
      </c>
      <c r="R157" s="2">
        <v>2941.2</v>
      </c>
      <c r="S157" s="2"/>
    </row>
    <row r="158" spans="1:19" x14ac:dyDescent="0.3">
      <c r="A158" s="2" t="s">
        <v>291</v>
      </c>
      <c r="B158" s="3">
        <v>45313</v>
      </c>
      <c r="C158" s="3">
        <v>45318</v>
      </c>
      <c r="D158" s="2" t="s">
        <v>49</v>
      </c>
      <c r="E158" s="2">
        <v>157</v>
      </c>
      <c r="F158" s="2" t="s">
        <v>177</v>
      </c>
      <c r="G158" s="2" t="s">
        <v>7</v>
      </c>
      <c r="H158" s="2" t="s">
        <v>21</v>
      </c>
      <c r="I158" s="2" t="s">
        <v>22</v>
      </c>
      <c r="J158" s="2" t="s">
        <v>23</v>
      </c>
      <c r="K158" s="2" t="s">
        <v>76</v>
      </c>
      <c r="L158" s="2" t="s">
        <v>69</v>
      </c>
      <c r="M158" s="2" t="s">
        <v>80</v>
      </c>
      <c r="N158" s="2" t="s">
        <v>81</v>
      </c>
      <c r="O158" s="2">
        <v>58132</v>
      </c>
      <c r="P158" s="2">
        <v>10</v>
      </c>
      <c r="Q158" s="2">
        <v>0.2</v>
      </c>
      <c r="R158" s="2">
        <v>775.09</v>
      </c>
      <c r="S158" s="2"/>
    </row>
    <row r="159" spans="1:19" x14ac:dyDescent="0.3">
      <c r="A159" s="2" t="s">
        <v>292</v>
      </c>
      <c r="B159" s="3">
        <v>45379</v>
      </c>
      <c r="C159" s="3">
        <v>45380</v>
      </c>
      <c r="D159" s="2" t="s">
        <v>49</v>
      </c>
      <c r="E159" s="2">
        <v>158</v>
      </c>
      <c r="F159" s="2" t="s">
        <v>142</v>
      </c>
      <c r="G159" s="2" t="s">
        <v>11</v>
      </c>
      <c r="H159" s="2" t="s">
        <v>12</v>
      </c>
      <c r="I159" s="2" t="s">
        <v>13</v>
      </c>
      <c r="J159" s="2" t="s">
        <v>14</v>
      </c>
      <c r="K159" s="2" t="s">
        <v>68</v>
      </c>
      <c r="L159" s="2" t="s">
        <v>69</v>
      </c>
      <c r="M159" s="2" t="s">
        <v>70</v>
      </c>
      <c r="N159" s="2" t="s">
        <v>71</v>
      </c>
      <c r="O159" s="2">
        <v>20071</v>
      </c>
      <c r="P159" s="2">
        <v>3</v>
      </c>
      <c r="Q159" s="2">
        <v>0.15</v>
      </c>
      <c r="R159" s="2">
        <v>602.13</v>
      </c>
      <c r="S159" s="2"/>
    </row>
    <row r="160" spans="1:19" x14ac:dyDescent="0.3">
      <c r="A160" s="2" t="s">
        <v>293</v>
      </c>
      <c r="B160" s="3">
        <v>45373</v>
      </c>
      <c r="C160" s="3">
        <v>45375</v>
      </c>
      <c r="D160" s="2" t="s">
        <v>55</v>
      </c>
      <c r="E160" s="2">
        <v>159</v>
      </c>
      <c r="F160" s="2" t="s">
        <v>153</v>
      </c>
      <c r="G160" s="2" t="s">
        <v>16</v>
      </c>
      <c r="H160" s="2" t="s">
        <v>17</v>
      </c>
      <c r="I160" s="2" t="s">
        <v>18</v>
      </c>
      <c r="J160" s="2" t="s">
        <v>19</v>
      </c>
      <c r="K160" s="2" t="s">
        <v>79</v>
      </c>
      <c r="L160" s="2" t="s">
        <v>73</v>
      </c>
      <c r="M160" s="2" t="s">
        <v>83</v>
      </c>
      <c r="N160" s="2" t="s">
        <v>102</v>
      </c>
      <c r="O160" s="2">
        <v>5139</v>
      </c>
      <c r="P160" s="2">
        <v>2</v>
      </c>
      <c r="Q160" s="2">
        <v>0.1</v>
      </c>
      <c r="R160" s="2">
        <v>239.82</v>
      </c>
      <c r="S160" s="2"/>
    </row>
    <row r="161" spans="1:19" x14ac:dyDescent="0.3">
      <c r="A161" s="2" t="s">
        <v>294</v>
      </c>
      <c r="B161" s="3">
        <v>45408</v>
      </c>
      <c r="C161" s="3">
        <v>45409</v>
      </c>
      <c r="D161" s="2" t="s">
        <v>49</v>
      </c>
      <c r="E161" s="2">
        <v>160</v>
      </c>
      <c r="F161" s="2" t="s">
        <v>197</v>
      </c>
      <c r="G161" s="2" t="s">
        <v>7</v>
      </c>
      <c r="H161" s="2" t="s">
        <v>21</v>
      </c>
      <c r="I161" s="2" t="s">
        <v>22</v>
      </c>
      <c r="J161" s="2" t="s">
        <v>23</v>
      </c>
      <c r="K161" s="2" t="s">
        <v>68</v>
      </c>
      <c r="L161" s="2" t="s">
        <v>69</v>
      </c>
      <c r="M161" s="2" t="s">
        <v>70</v>
      </c>
      <c r="N161" s="2" t="s">
        <v>71</v>
      </c>
      <c r="O161" s="2">
        <v>43560</v>
      </c>
      <c r="P161" s="2">
        <v>8</v>
      </c>
      <c r="Q161" s="2">
        <v>0.15</v>
      </c>
      <c r="R161" s="2">
        <v>1306.8</v>
      </c>
      <c r="S161" s="2"/>
    </row>
    <row r="162" spans="1:19" x14ac:dyDescent="0.3">
      <c r="A162" s="2" t="s">
        <v>295</v>
      </c>
      <c r="B162" s="3">
        <v>45429</v>
      </c>
      <c r="C162" s="3">
        <v>45432</v>
      </c>
      <c r="D162" s="2" t="s">
        <v>52</v>
      </c>
      <c r="E162" s="2">
        <v>161</v>
      </c>
      <c r="F162" s="2" t="s">
        <v>229</v>
      </c>
      <c r="G162" s="2" t="s">
        <v>11</v>
      </c>
      <c r="H162" s="2" t="s">
        <v>17</v>
      </c>
      <c r="I162" s="2" t="s">
        <v>18</v>
      </c>
      <c r="J162" s="2" t="s">
        <v>19</v>
      </c>
      <c r="K162" s="2" t="s">
        <v>72</v>
      </c>
      <c r="L162" s="2" t="s">
        <v>73</v>
      </c>
      <c r="M162" s="2" t="s">
        <v>74</v>
      </c>
      <c r="N162" s="2" t="s">
        <v>75</v>
      </c>
      <c r="O162" s="2">
        <v>40271</v>
      </c>
      <c r="P162" s="2">
        <v>2</v>
      </c>
      <c r="Q162" s="2">
        <v>0.05</v>
      </c>
      <c r="R162" s="2">
        <v>2550.5</v>
      </c>
      <c r="S162" s="2"/>
    </row>
    <row r="163" spans="1:19" x14ac:dyDescent="0.3">
      <c r="A163" s="2" t="s">
        <v>296</v>
      </c>
      <c r="B163" s="3">
        <v>45298</v>
      </c>
      <c r="C163" s="3">
        <v>45302</v>
      </c>
      <c r="D163" s="2" t="s">
        <v>49</v>
      </c>
      <c r="E163" s="2">
        <v>162</v>
      </c>
      <c r="F163" s="2" t="s">
        <v>124</v>
      </c>
      <c r="G163" s="2" t="s">
        <v>7</v>
      </c>
      <c r="H163" s="2" t="s">
        <v>21</v>
      </c>
      <c r="I163" s="2" t="s">
        <v>22</v>
      </c>
      <c r="J163" s="2" t="s">
        <v>23</v>
      </c>
      <c r="K163" s="2" t="s">
        <v>72</v>
      </c>
      <c r="L163" s="2" t="s">
        <v>73</v>
      </c>
      <c r="M163" s="2" t="s">
        <v>74</v>
      </c>
      <c r="N163" s="2" t="s">
        <v>75</v>
      </c>
      <c r="O163" s="2">
        <v>5365</v>
      </c>
      <c r="P163" s="2">
        <v>9</v>
      </c>
      <c r="Q163" s="2">
        <v>0</v>
      </c>
      <c r="R163" s="2">
        <v>429.2</v>
      </c>
      <c r="S163" s="2"/>
    </row>
    <row r="164" spans="1:19" x14ac:dyDescent="0.3">
      <c r="A164" s="2" t="s">
        <v>297</v>
      </c>
      <c r="B164" s="3">
        <v>45472</v>
      </c>
      <c r="C164" s="3">
        <v>45476</v>
      </c>
      <c r="D164" s="2" t="s">
        <v>49</v>
      </c>
      <c r="E164" s="2">
        <v>163</v>
      </c>
      <c r="F164" s="2" t="s">
        <v>200</v>
      </c>
      <c r="G164" s="2" t="s">
        <v>7</v>
      </c>
      <c r="H164" s="2" t="s">
        <v>12</v>
      </c>
      <c r="I164" s="2" t="s">
        <v>13</v>
      </c>
      <c r="J164" s="2" t="s">
        <v>14</v>
      </c>
      <c r="K164" s="2" t="s">
        <v>68</v>
      </c>
      <c r="L164" s="2" t="s">
        <v>69</v>
      </c>
      <c r="M164" s="2" t="s">
        <v>70</v>
      </c>
      <c r="N164" s="2" t="s">
        <v>71</v>
      </c>
      <c r="O164" s="2">
        <v>24209</v>
      </c>
      <c r="P164" s="2">
        <v>4</v>
      </c>
      <c r="Q164" s="2">
        <v>0.15</v>
      </c>
      <c r="R164" s="2">
        <v>726.27</v>
      </c>
      <c r="S164" s="2"/>
    </row>
    <row r="165" spans="1:19" x14ac:dyDescent="0.3">
      <c r="A165" s="2" t="s">
        <v>298</v>
      </c>
      <c r="B165" s="3">
        <v>45450</v>
      </c>
      <c r="C165" s="3">
        <v>45452</v>
      </c>
      <c r="D165" s="2" t="s">
        <v>49</v>
      </c>
      <c r="E165" s="2">
        <v>164</v>
      </c>
      <c r="F165" s="2" t="s">
        <v>136</v>
      </c>
      <c r="G165" s="2" t="s">
        <v>11</v>
      </c>
      <c r="H165" s="2" t="s">
        <v>12</v>
      </c>
      <c r="I165" s="2" t="s">
        <v>28</v>
      </c>
      <c r="J165" s="2" t="s">
        <v>29</v>
      </c>
      <c r="K165" s="2" t="s">
        <v>76</v>
      </c>
      <c r="L165" s="2" t="s">
        <v>69</v>
      </c>
      <c r="M165" s="2" t="s">
        <v>80</v>
      </c>
      <c r="N165" s="2" t="s">
        <v>81</v>
      </c>
      <c r="O165" s="2">
        <v>19678</v>
      </c>
      <c r="P165" s="2">
        <v>10</v>
      </c>
      <c r="Q165" s="2">
        <v>0</v>
      </c>
      <c r="R165" s="2">
        <v>1574.24</v>
      </c>
      <c r="S165" s="2"/>
    </row>
    <row r="166" spans="1:19" x14ac:dyDescent="0.3">
      <c r="A166" s="2" t="s">
        <v>299</v>
      </c>
      <c r="B166" s="3">
        <v>45450</v>
      </c>
      <c r="C166" s="3">
        <v>45454</v>
      </c>
      <c r="D166" s="2" t="s">
        <v>49</v>
      </c>
      <c r="E166" s="2">
        <v>165</v>
      </c>
      <c r="F166" s="2" t="s">
        <v>105</v>
      </c>
      <c r="G166" s="2" t="s">
        <v>7</v>
      </c>
      <c r="H166" s="2" t="s">
        <v>8</v>
      </c>
      <c r="I166" s="2" t="s">
        <v>40</v>
      </c>
      <c r="J166" s="2" t="s">
        <v>41</v>
      </c>
      <c r="K166" s="2" t="s">
        <v>64</v>
      </c>
      <c r="L166" s="2" t="s">
        <v>65</v>
      </c>
      <c r="M166" s="2" t="s">
        <v>66</v>
      </c>
      <c r="N166" s="2" t="s">
        <v>67</v>
      </c>
      <c r="O166" s="2">
        <v>62225</v>
      </c>
      <c r="P166" s="2">
        <v>2</v>
      </c>
      <c r="Q166" s="2">
        <v>0.15</v>
      </c>
      <c r="R166" s="2">
        <v>1866.75</v>
      </c>
      <c r="S166" s="2"/>
    </row>
    <row r="167" spans="1:19" x14ac:dyDescent="0.3">
      <c r="A167" s="2" t="s">
        <v>300</v>
      </c>
      <c r="B167" s="3">
        <v>45373</v>
      </c>
      <c r="C167" s="3">
        <v>45375</v>
      </c>
      <c r="D167" s="2" t="s">
        <v>47</v>
      </c>
      <c r="E167" s="2">
        <v>166</v>
      </c>
      <c r="F167" s="2" t="s">
        <v>105</v>
      </c>
      <c r="G167" s="2" t="s">
        <v>11</v>
      </c>
      <c r="H167" s="2" t="s">
        <v>17</v>
      </c>
      <c r="I167" s="2" t="s">
        <v>18</v>
      </c>
      <c r="J167" s="2" t="s">
        <v>19</v>
      </c>
      <c r="K167" s="2" t="s">
        <v>76</v>
      </c>
      <c r="L167" s="2" t="s">
        <v>69</v>
      </c>
      <c r="M167" s="2" t="s">
        <v>80</v>
      </c>
      <c r="N167" s="2" t="s">
        <v>81</v>
      </c>
      <c r="O167" s="2">
        <v>56802</v>
      </c>
      <c r="P167" s="2">
        <v>10</v>
      </c>
      <c r="Q167" s="2">
        <v>0.1</v>
      </c>
      <c r="R167" s="2">
        <v>2650.76</v>
      </c>
      <c r="S167" s="2"/>
    </row>
    <row r="168" spans="1:19" x14ac:dyDescent="0.3">
      <c r="A168" s="2" t="s">
        <v>301</v>
      </c>
      <c r="B168" s="3">
        <v>45392</v>
      </c>
      <c r="C168" s="3">
        <v>45396</v>
      </c>
      <c r="D168" s="2" t="s">
        <v>52</v>
      </c>
      <c r="E168" s="2">
        <v>167</v>
      </c>
      <c r="F168" s="2" t="s">
        <v>214</v>
      </c>
      <c r="G168" s="2" t="s">
        <v>7</v>
      </c>
      <c r="H168" s="2" t="s">
        <v>8</v>
      </c>
      <c r="I168" s="2" t="s">
        <v>9</v>
      </c>
      <c r="J168" s="2" t="s">
        <v>9</v>
      </c>
      <c r="K168" s="2" t="s">
        <v>68</v>
      </c>
      <c r="L168" s="2" t="s">
        <v>69</v>
      </c>
      <c r="M168" s="2" t="s">
        <v>70</v>
      </c>
      <c r="N168" s="2" t="s">
        <v>71</v>
      </c>
      <c r="O168" s="2">
        <v>55501</v>
      </c>
      <c r="P168" s="2">
        <v>5</v>
      </c>
      <c r="Q168" s="2">
        <v>0.05</v>
      </c>
      <c r="R168" s="2">
        <v>3515.06</v>
      </c>
      <c r="S168" s="2"/>
    </row>
    <row r="169" spans="1:19" x14ac:dyDescent="0.3">
      <c r="A169" s="2" t="s">
        <v>302</v>
      </c>
      <c r="B169" s="3">
        <v>45338</v>
      </c>
      <c r="C169" s="3">
        <v>45340</v>
      </c>
      <c r="D169" s="2" t="s">
        <v>55</v>
      </c>
      <c r="E169" s="2">
        <v>168</v>
      </c>
      <c r="F169" s="2" t="s">
        <v>147</v>
      </c>
      <c r="G169" s="2" t="s">
        <v>7</v>
      </c>
      <c r="H169" s="2" t="s">
        <v>8</v>
      </c>
      <c r="I169" s="2" t="s">
        <v>9</v>
      </c>
      <c r="J169" s="2" t="s">
        <v>9</v>
      </c>
      <c r="K169" s="2" t="s">
        <v>72</v>
      </c>
      <c r="L169" s="2" t="s">
        <v>73</v>
      </c>
      <c r="M169" s="2" t="s">
        <v>74</v>
      </c>
      <c r="N169" s="2" t="s">
        <v>75</v>
      </c>
      <c r="O169" s="2">
        <v>42944</v>
      </c>
      <c r="P169" s="2">
        <v>1</v>
      </c>
      <c r="Q169" s="2">
        <v>0.1</v>
      </c>
      <c r="R169" s="2">
        <v>2004.05</v>
      </c>
      <c r="S169" s="2"/>
    </row>
    <row r="170" spans="1:19" x14ac:dyDescent="0.3">
      <c r="A170" s="2" t="s">
        <v>303</v>
      </c>
      <c r="B170" s="3">
        <v>45457</v>
      </c>
      <c r="C170" s="3">
        <v>45462</v>
      </c>
      <c r="D170" s="2" t="s">
        <v>55</v>
      </c>
      <c r="E170" s="2">
        <v>169</v>
      </c>
      <c r="F170" s="2" t="s">
        <v>163</v>
      </c>
      <c r="G170" s="2" t="s">
        <v>7</v>
      </c>
      <c r="H170" s="2" t="s">
        <v>21</v>
      </c>
      <c r="I170" s="2" t="s">
        <v>22</v>
      </c>
      <c r="J170" s="2" t="s">
        <v>23</v>
      </c>
      <c r="K170" s="2" t="s">
        <v>79</v>
      </c>
      <c r="L170" s="2" t="s">
        <v>73</v>
      </c>
      <c r="M170" s="2" t="s">
        <v>83</v>
      </c>
      <c r="N170" s="2" t="s">
        <v>102</v>
      </c>
      <c r="O170" s="2">
        <v>9777</v>
      </c>
      <c r="P170" s="2">
        <v>7</v>
      </c>
      <c r="Q170" s="2">
        <v>0.15</v>
      </c>
      <c r="R170" s="2">
        <v>293.31</v>
      </c>
      <c r="S170" s="2"/>
    </row>
    <row r="171" spans="1:19" x14ac:dyDescent="0.3">
      <c r="A171" s="2" t="s">
        <v>304</v>
      </c>
      <c r="B171" s="3">
        <v>45316</v>
      </c>
      <c r="C171" s="3">
        <v>45319</v>
      </c>
      <c r="D171" s="2" t="s">
        <v>52</v>
      </c>
      <c r="E171" s="2">
        <v>170</v>
      </c>
      <c r="F171" s="2" t="s">
        <v>190</v>
      </c>
      <c r="G171" s="2" t="s">
        <v>7</v>
      </c>
      <c r="H171" s="2" t="s">
        <v>8</v>
      </c>
      <c r="I171" s="2" t="s">
        <v>40</v>
      </c>
      <c r="J171" s="2" t="s">
        <v>41</v>
      </c>
      <c r="K171" s="2" t="s">
        <v>72</v>
      </c>
      <c r="L171" s="2" t="s">
        <v>73</v>
      </c>
      <c r="M171" s="2" t="s">
        <v>74</v>
      </c>
      <c r="N171" s="2" t="s">
        <v>75</v>
      </c>
      <c r="O171" s="2">
        <v>30094</v>
      </c>
      <c r="P171" s="2">
        <v>7</v>
      </c>
      <c r="Q171" s="2">
        <v>0.2</v>
      </c>
      <c r="R171" s="2">
        <v>401.25</v>
      </c>
      <c r="S171" s="2"/>
    </row>
    <row r="172" spans="1:19" x14ac:dyDescent="0.3">
      <c r="A172" s="2" t="s">
        <v>305</v>
      </c>
      <c r="B172" s="3">
        <v>45452</v>
      </c>
      <c r="C172" s="3">
        <v>45455</v>
      </c>
      <c r="D172" s="2" t="s">
        <v>52</v>
      </c>
      <c r="E172" s="2">
        <v>171</v>
      </c>
      <c r="F172" s="2" t="s">
        <v>163</v>
      </c>
      <c r="G172" s="2" t="s">
        <v>11</v>
      </c>
      <c r="H172" s="2" t="s">
        <v>8</v>
      </c>
      <c r="I172" s="2" t="s">
        <v>9</v>
      </c>
      <c r="J172" s="2" t="s">
        <v>9</v>
      </c>
      <c r="K172" s="2" t="s">
        <v>76</v>
      </c>
      <c r="L172" s="2" t="s">
        <v>69</v>
      </c>
      <c r="M172" s="2" t="s">
        <v>80</v>
      </c>
      <c r="N172" s="2" t="s">
        <v>81</v>
      </c>
      <c r="O172" s="2">
        <v>39205</v>
      </c>
      <c r="P172" s="2">
        <v>2</v>
      </c>
      <c r="Q172" s="2">
        <v>0.2</v>
      </c>
      <c r="R172" s="2">
        <v>522.73</v>
      </c>
      <c r="S172" s="2"/>
    </row>
    <row r="173" spans="1:19" x14ac:dyDescent="0.3">
      <c r="A173" s="2" t="s">
        <v>306</v>
      </c>
      <c r="B173" s="3">
        <v>45350</v>
      </c>
      <c r="C173" s="3">
        <v>45355</v>
      </c>
      <c r="D173" s="2" t="s">
        <v>47</v>
      </c>
      <c r="E173" s="2">
        <v>172</v>
      </c>
      <c r="F173" s="2" t="s">
        <v>105</v>
      </c>
      <c r="G173" s="2" t="s">
        <v>7</v>
      </c>
      <c r="H173" s="2" t="s">
        <v>8</v>
      </c>
      <c r="I173" s="2" t="s">
        <v>9</v>
      </c>
      <c r="J173" s="2" t="s">
        <v>9</v>
      </c>
      <c r="K173" s="2" t="s">
        <v>64</v>
      </c>
      <c r="L173" s="2" t="s">
        <v>65</v>
      </c>
      <c r="M173" s="2" t="s">
        <v>66</v>
      </c>
      <c r="N173" s="2" t="s">
        <v>67</v>
      </c>
      <c r="O173" s="2">
        <v>56564</v>
      </c>
      <c r="P173" s="2">
        <v>1</v>
      </c>
      <c r="Q173" s="2">
        <v>0.1</v>
      </c>
      <c r="R173" s="2">
        <v>2639.65</v>
      </c>
      <c r="S173" s="2"/>
    </row>
    <row r="174" spans="1:19" x14ac:dyDescent="0.3">
      <c r="A174" s="2" t="s">
        <v>307</v>
      </c>
      <c r="B174" s="3">
        <v>45363</v>
      </c>
      <c r="C174" s="3">
        <v>45368</v>
      </c>
      <c r="D174" s="2" t="s">
        <v>47</v>
      </c>
      <c r="E174" s="2">
        <v>173</v>
      </c>
      <c r="F174" s="2" t="s">
        <v>104</v>
      </c>
      <c r="G174" s="2" t="s">
        <v>11</v>
      </c>
      <c r="H174" s="2" t="s">
        <v>17</v>
      </c>
      <c r="I174" s="2" t="s">
        <v>18</v>
      </c>
      <c r="J174" s="2" t="s">
        <v>19</v>
      </c>
      <c r="K174" s="2" t="s">
        <v>79</v>
      </c>
      <c r="L174" s="2" t="s">
        <v>73</v>
      </c>
      <c r="M174" s="2" t="s">
        <v>83</v>
      </c>
      <c r="N174" s="2" t="s">
        <v>102</v>
      </c>
      <c r="O174" s="2">
        <v>56566</v>
      </c>
      <c r="P174" s="2">
        <v>5</v>
      </c>
      <c r="Q174" s="2">
        <v>0.2</v>
      </c>
      <c r="R174" s="2">
        <v>754.21</v>
      </c>
      <c r="S174" s="2"/>
    </row>
    <row r="175" spans="1:19" x14ac:dyDescent="0.3">
      <c r="A175" s="2" t="s">
        <v>308</v>
      </c>
      <c r="B175" s="3">
        <v>45330</v>
      </c>
      <c r="C175" s="3">
        <v>45334</v>
      </c>
      <c r="D175" s="2" t="s">
        <v>52</v>
      </c>
      <c r="E175" s="2">
        <v>174</v>
      </c>
      <c r="F175" s="2" t="s">
        <v>122</v>
      </c>
      <c r="G175" s="2" t="s">
        <v>11</v>
      </c>
      <c r="H175" s="2" t="s">
        <v>12</v>
      </c>
      <c r="I175" s="2" t="s">
        <v>28</v>
      </c>
      <c r="J175" s="2" t="s">
        <v>29</v>
      </c>
      <c r="K175" s="2" t="s">
        <v>79</v>
      </c>
      <c r="L175" s="2" t="s">
        <v>73</v>
      </c>
      <c r="M175" s="2" t="s">
        <v>83</v>
      </c>
      <c r="N175" s="2" t="s">
        <v>102</v>
      </c>
      <c r="O175" s="2">
        <v>9554</v>
      </c>
      <c r="P175" s="2">
        <v>3</v>
      </c>
      <c r="Q175" s="2">
        <v>0.05</v>
      </c>
      <c r="R175" s="2">
        <v>605.09</v>
      </c>
      <c r="S175" s="2"/>
    </row>
    <row r="176" spans="1:19" x14ac:dyDescent="0.3">
      <c r="A176" s="2" t="s">
        <v>309</v>
      </c>
      <c r="B176" s="3">
        <v>45312</v>
      </c>
      <c r="C176" s="3">
        <v>45314</v>
      </c>
      <c r="D176" s="2" t="s">
        <v>52</v>
      </c>
      <c r="E176" s="2">
        <v>175</v>
      </c>
      <c r="F176" s="2" t="s">
        <v>151</v>
      </c>
      <c r="G176" s="2" t="s">
        <v>16</v>
      </c>
      <c r="H176" s="2" t="s">
        <v>17</v>
      </c>
      <c r="I176" s="2" t="s">
        <v>18</v>
      </c>
      <c r="J176" s="2" t="s">
        <v>19</v>
      </c>
      <c r="K176" s="2" t="s">
        <v>79</v>
      </c>
      <c r="L176" s="2" t="s">
        <v>73</v>
      </c>
      <c r="M176" s="2" t="s">
        <v>83</v>
      </c>
      <c r="N176" s="2" t="s">
        <v>102</v>
      </c>
      <c r="O176" s="2">
        <v>10678</v>
      </c>
      <c r="P176" s="2">
        <v>10</v>
      </c>
      <c r="Q176" s="2">
        <v>0.2</v>
      </c>
      <c r="R176" s="2">
        <v>142.37</v>
      </c>
      <c r="S176" s="2"/>
    </row>
    <row r="177" spans="1:19" x14ac:dyDescent="0.3">
      <c r="A177" s="2" t="s">
        <v>310</v>
      </c>
      <c r="B177" s="3">
        <v>45372</v>
      </c>
      <c r="C177" s="3">
        <v>45376</v>
      </c>
      <c r="D177" s="2" t="s">
        <v>47</v>
      </c>
      <c r="E177" s="2">
        <v>176</v>
      </c>
      <c r="F177" s="2" t="s">
        <v>200</v>
      </c>
      <c r="G177" s="2" t="s">
        <v>16</v>
      </c>
      <c r="H177" s="2" t="s">
        <v>21</v>
      </c>
      <c r="I177" s="2" t="s">
        <v>22</v>
      </c>
      <c r="J177" s="2" t="s">
        <v>23</v>
      </c>
      <c r="K177" s="2" t="s">
        <v>76</v>
      </c>
      <c r="L177" s="2" t="s">
        <v>69</v>
      </c>
      <c r="M177" s="2" t="s">
        <v>80</v>
      </c>
      <c r="N177" s="2" t="s">
        <v>81</v>
      </c>
      <c r="O177" s="2">
        <v>65286</v>
      </c>
      <c r="P177" s="2">
        <v>1</v>
      </c>
      <c r="Q177" s="2">
        <v>0.05</v>
      </c>
      <c r="R177" s="2">
        <v>4134.78</v>
      </c>
      <c r="S177" s="2"/>
    </row>
    <row r="178" spans="1:19" x14ac:dyDescent="0.3">
      <c r="A178" s="2" t="s">
        <v>311</v>
      </c>
      <c r="B178" s="3">
        <v>45403</v>
      </c>
      <c r="C178" s="3">
        <v>45408</v>
      </c>
      <c r="D178" s="2" t="s">
        <v>52</v>
      </c>
      <c r="E178" s="2">
        <v>177</v>
      </c>
      <c r="F178" s="2" t="s">
        <v>118</v>
      </c>
      <c r="G178" s="2" t="s">
        <v>7</v>
      </c>
      <c r="H178" s="2" t="s">
        <v>17</v>
      </c>
      <c r="I178" s="2" t="s">
        <v>18</v>
      </c>
      <c r="J178" s="2" t="s">
        <v>19</v>
      </c>
      <c r="K178" s="2" t="s">
        <v>68</v>
      </c>
      <c r="L178" s="2" t="s">
        <v>69</v>
      </c>
      <c r="M178" s="2" t="s">
        <v>70</v>
      </c>
      <c r="N178" s="2" t="s">
        <v>71</v>
      </c>
      <c r="O178" s="2">
        <v>36742</v>
      </c>
      <c r="P178" s="2">
        <v>7</v>
      </c>
      <c r="Q178" s="2">
        <v>0.2</v>
      </c>
      <c r="R178" s="2">
        <v>489.89</v>
      </c>
      <c r="S178" s="2"/>
    </row>
    <row r="179" spans="1:19" x14ac:dyDescent="0.3">
      <c r="A179" s="2" t="s">
        <v>312</v>
      </c>
      <c r="B179" s="3">
        <v>45359</v>
      </c>
      <c r="C179" s="3">
        <v>45363</v>
      </c>
      <c r="D179" s="2" t="s">
        <v>49</v>
      </c>
      <c r="E179" s="2">
        <v>178</v>
      </c>
      <c r="F179" s="2" t="s">
        <v>180</v>
      </c>
      <c r="G179" s="2" t="s">
        <v>7</v>
      </c>
      <c r="H179" s="2" t="s">
        <v>21</v>
      </c>
      <c r="I179" s="2" t="s">
        <v>22</v>
      </c>
      <c r="J179" s="2" t="s">
        <v>23</v>
      </c>
      <c r="K179" s="2" t="s">
        <v>64</v>
      </c>
      <c r="L179" s="2" t="s">
        <v>65</v>
      </c>
      <c r="M179" s="2" t="s">
        <v>66</v>
      </c>
      <c r="N179" s="2" t="s">
        <v>67</v>
      </c>
      <c r="O179" s="2">
        <v>26889</v>
      </c>
      <c r="P179" s="2">
        <v>9</v>
      </c>
      <c r="Q179" s="2">
        <v>0.15</v>
      </c>
      <c r="R179" s="2">
        <v>806.67</v>
      </c>
      <c r="S179" s="2"/>
    </row>
    <row r="180" spans="1:19" x14ac:dyDescent="0.3">
      <c r="A180" s="2" t="s">
        <v>313</v>
      </c>
      <c r="B180" s="3">
        <v>45352</v>
      </c>
      <c r="C180" s="3">
        <v>45357</v>
      </c>
      <c r="D180" s="2" t="s">
        <v>49</v>
      </c>
      <c r="E180" s="2">
        <v>179</v>
      </c>
      <c r="F180" s="2" t="s">
        <v>165</v>
      </c>
      <c r="G180" s="2" t="s">
        <v>11</v>
      </c>
      <c r="H180" s="2" t="s">
        <v>17</v>
      </c>
      <c r="I180" s="2" t="s">
        <v>18</v>
      </c>
      <c r="J180" s="2" t="s">
        <v>19</v>
      </c>
      <c r="K180" s="2" t="s">
        <v>64</v>
      </c>
      <c r="L180" s="2" t="s">
        <v>65</v>
      </c>
      <c r="M180" s="2" t="s">
        <v>66</v>
      </c>
      <c r="N180" s="2" t="s">
        <v>67</v>
      </c>
      <c r="O180" s="2">
        <v>60109</v>
      </c>
      <c r="P180" s="2">
        <v>4</v>
      </c>
      <c r="Q180" s="2">
        <v>0.15</v>
      </c>
      <c r="R180" s="2">
        <v>1803.27</v>
      </c>
      <c r="S180" s="2"/>
    </row>
    <row r="181" spans="1:19" x14ac:dyDescent="0.3">
      <c r="A181" s="2" t="s">
        <v>314</v>
      </c>
      <c r="B181" s="3">
        <v>45426</v>
      </c>
      <c r="C181" s="3">
        <v>45430</v>
      </c>
      <c r="D181" s="2" t="s">
        <v>55</v>
      </c>
      <c r="E181" s="2">
        <v>180</v>
      </c>
      <c r="F181" s="2" t="s">
        <v>285</v>
      </c>
      <c r="G181" s="2" t="s">
        <v>16</v>
      </c>
      <c r="H181" s="2" t="s">
        <v>21</v>
      </c>
      <c r="I181" s="2" t="s">
        <v>22</v>
      </c>
      <c r="J181" s="2" t="s">
        <v>23</v>
      </c>
      <c r="K181" s="2" t="s">
        <v>76</v>
      </c>
      <c r="L181" s="2" t="s">
        <v>69</v>
      </c>
      <c r="M181" s="2" t="s">
        <v>80</v>
      </c>
      <c r="N181" s="2" t="s">
        <v>81</v>
      </c>
      <c r="O181" s="2">
        <v>41444</v>
      </c>
      <c r="P181" s="2">
        <v>7</v>
      </c>
      <c r="Q181" s="2">
        <v>0.15</v>
      </c>
      <c r="R181" s="2">
        <v>1243.32</v>
      </c>
      <c r="S181" s="2"/>
    </row>
    <row r="182" spans="1:19" x14ac:dyDescent="0.3">
      <c r="A182" s="2" t="s">
        <v>315</v>
      </c>
      <c r="B182" s="3">
        <v>45447</v>
      </c>
      <c r="C182" s="3">
        <v>45450</v>
      </c>
      <c r="D182" s="2" t="s">
        <v>49</v>
      </c>
      <c r="E182" s="2">
        <v>181</v>
      </c>
      <c r="F182" s="2" t="s">
        <v>184</v>
      </c>
      <c r="G182" s="2" t="s">
        <v>7</v>
      </c>
      <c r="H182" s="2" t="s">
        <v>21</v>
      </c>
      <c r="I182" s="2" t="s">
        <v>22</v>
      </c>
      <c r="J182" s="2" t="s">
        <v>23</v>
      </c>
      <c r="K182" s="2" t="s">
        <v>76</v>
      </c>
      <c r="L182" s="2" t="s">
        <v>69</v>
      </c>
      <c r="M182" s="2" t="s">
        <v>80</v>
      </c>
      <c r="N182" s="2" t="s">
        <v>81</v>
      </c>
      <c r="O182" s="2">
        <v>64820</v>
      </c>
      <c r="P182" s="2">
        <v>9</v>
      </c>
      <c r="Q182" s="2">
        <v>0</v>
      </c>
      <c r="R182" s="2">
        <v>5185.6000000000004</v>
      </c>
      <c r="S182" s="2"/>
    </row>
    <row r="183" spans="1:19" x14ac:dyDescent="0.3">
      <c r="A183" s="2" t="s">
        <v>316</v>
      </c>
      <c r="B183" s="3">
        <v>45410</v>
      </c>
      <c r="C183" s="3">
        <v>45415</v>
      </c>
      <c r="D183" s="2" t="s">
        <v>55</v>
      </c>
      <c r="E183" s="2">
        <v>182</v>
      </c>
      <c r="F183" s="2" t="s">
        <v>104</v>
      </c>
      <c r="G183" s="2" t="s">
        <v>11</v>
      </c>
      <c r="H183" s="2" t="s">
        <v>21</v>
      </c>
      <c r="I183" s="2" t="s">
        <v>22</v>
      </c>
      <c r="J183" s="2" t="s">
        <v>23</v>
      </c>
      <c r="K183" s="2" t="s">
        <v>76</v>
      </c>
      <c r="L183" s="2" t="s">
        <v>69</v>
      </c>
      <c r="M183" s="2" t="s">
        <v>80</v>
      </c>
      <c r="N183" s="2" t="s">
        <v>81</v>
      </c>
      <c r="O183" s="2">
        <v>19651</v>
      </c>
      <c r="P183" s="2">
        <v>6</v>
      </c>
      <c r="Q183" s="2">
        <v>0</v>
      </c>
      <c r="R183" s="2">
        <v>1572.08</v>
      </c>
      <c r="S183" s="2"/>
    </row>
    <row r="184" spans="1:19" x14ac:dyDescent="0.3">
      <c r="A184" s="2" t="s">
        <v>317</v>
      </c>
      <c r="B184" s="3">
        <v>45408</v>
      </c>
      <c r="C184" s="3">
        <v>45412</v>
      </c>
      <c r="D184" s="2" t="s">
        <v>47</v>
      </c>
      <c r="E184" s="2">
        <v>183</v>
      </c>
      <c r="F184" s="2" t="s">
        <v>197</v>
      </c>
      <c r="G184" s="2" t="s">
        <v>7</v>
      </c>
      <c r="H184" s="2" t="s">
        <v>12</v>
      </c>
      <c r="I184" s="2" t="s">
        <v>28</v>
      </c>
      <c r="J184" s="2" t="s">
        <v>29</v>
      </c>
      <c r="K184" s="2" t="s">
        <v>72</v>
      </c>
      <c r="L184" s="2" t="s">
        <v>73</v>
      </c>
      <c r="M184" s="2" t="s">
        <v>74</v>
      </c>
      <c r="N184" s="2" t="s">
        <v>75</v>
      </c>
      <c r="O184" s="2">
        <v>61788</v>
      </c>
      <c r="P184" s="2">
        <v>1</v>
      </c>
      <c r="Q184" s="2">
        <v>0.05</v>
      </c>
      <c r="R184" s="2">
        <v>3913.24</v>
      </c>
      <c r="S184" s="2"/>
    </row>
    <row r="185" spans="1:19" x14ac:dyDescent="0.3">
      <c r="A185" s="2" t="s">
        <v>318</v>
      </c>
      <c r="B185" s="3">
        <v>45372</v>
      </c>
      <c r="C185" s="3">
        <v>45376</v>
      </c>
      <c r="D185" s="2" t="s">
        <v>55</v>
      </c>
      <c r="E185" s="2">
        <v>184</v>
      </c>
      <c r="F185" s="2" t="s">
        <v>118</v>
      </c>
      <c r="G185" s="2" t="s">
        <v>16</v>
      </c>
      <c r="H185" s="2" t="s">
        <v>17</v>
      </c>
      <c r="I185" s="2" t="s">
        <v>18</v>
      </c>
      <c r="J185" s="2" t="s">
        <v>19</v>
      </c>
      <c r="K185" s="2" t="s">
        <v>68</v>
      </c>
      <c r="L185" s="2" t="s">
        <v>69</v>
      </c>
      <c r="M185" s="2" t="s">
        <v>70</v>
      </c>
      <c r="N185" s="2" t="s">
        <v>71</v>
      </c>
      <c r="O185" s="2">
        <v>32517</v>
      </c>
      <c r="P185" s="2">
        <v>9</v>
      </c>
      <c r="Q185" s="2">
        <v>0.2</v>
      </c>
      <c r="R185" s="2">
        <v>433.56</v>
      </c>
      <c r="S185" s="2"/>
    </row>
    <row r="186" spans="1:19" x14ac:dyDescent="0.3">
      <c r="A186" s="2" t="s">
        <v>319</v>
      </c>
      <c r="B186" s="3">
        <v>45375</v>
      </c>
      <c r="C186" s="3">
        <v>45379</v>
      </c>
      <c r="D186" s="2" t="s">
        <v>49</v>
      </c>
      <c r="E186" s="2">
        <v>185</v>
      </c>
      <c r="F186" s="2" t="s">
        <v>177</v>
      </c>
      <c r="G186" s="2" t="s">
        <v>16</v>
      </c>
      <c r="H186" s="2" t="s">
        <v>12</v>
      </c>
      <c r="I186" s="2" t="s">
        <v>28</v>
      </c>
      <c r="J186" s="2" t="s">
        <v>29</v>
      </c>
      <c r="K186" s="2" t="s">
        <v>64</v>
      </c>
      <c r="L186" s="2" t="s">
        <v>65</v>
      </c>
      <c r="M186" s="2" t="s">
        <v>66</v>
      </c>
      <c r="N186" s="2" t="s">
        <v>67</v>
      </c>
      <c r="O186" s="2">
        <v>51477</v>
      </c>
      <c r="P186" s="2">
        <v>1</v>
      </c>
      <c r="Q186" s="2">
        <v>0.15</v>
      </c>
      <c r="R186" s="2">
        <v>1544.31</v>
      </c>
      <c r="S186" s="2"/>
    </row>
    <row r="187" spans="1:19" x14ac:dyDescent="0.3">
      <c r="A187" s="2" t="s">
        <v>320</v>
      </c>
      <c r="B187" s="3">
        <v>45326</v>
      </c>
      <c r="C187" s="3">
        <v>45329</v>
      </c>
      <c r="D187" s="2" t="s">
        <v>52</v>
      </c>
      <c r="E187" s="2">
        <v>186</v>
      </c>
      <c r="F187" s="2" t="s">
        <v>131</v>
      </c>
      <c r="G187" s="2" t="s">
        <v>11</v>
      </c>
      <c r="H187" s="2" t="s">
        <v>17</v>
      </c>
      <c r="I187" s="2" t="s">
        <v>18</v>
      </c>
      <c r="J187" s="2" t="s">
        <v>19</v>
      </c>
      <c r="K187" s="2" t="s">
        <v>68</v>
      </c>
      <c r="L187" s="2" t="s">
        <v>69</v>
      </c>
      <c r="M187" s="2" t="s">
        <v>70</v>
      </c>
      <c r="N187" s="2" t="s">
        <v>71</v>
      </c>
      <c r="O187" s="2">
        <v>50606</v>
      </c>
      <c r="P187" s="2">
        <v>3</v>
      </c>
      <c r="Q187" s="2">
        <v>0.05</v>
      </c>
      <c r="R187" s="2">
        <v>3205.05</v>
      </c>
      <c r="S187" s="2"/>
    </row>
    <row r="188" spans="1:19" x14ac:dyDescent="0.3">
      <c r="A188" s="2" t="s">
        <v>321</v>
      </c>
      <c r="B188" s="3">
        <v>45317</v>
      </c>
      <c r="C188" s="3">
        <v>45319</v>
      </c>
      <c r="D188" s="2" t="s">
        <v>55</v>
      </c>
      <c r="E188" s="2">
        <v>187</v>
      </c>
      <c r="F188" s="2" t="s">
        <v>142</v>
      </c>
      <c r="G188" s="2" t="s">
        <v>7</v>
      </c>
      <c r="H188" s="2" t="s">
        <v>17</v>
      </c>
      <c r="I188" s="2" t="s">
        <v>18</v>
      </c>
      <c r="J188" s="2" t="s">
        <v>19</v>
      </c>
      <c r="K188" s="2" t="s">
        <v>76</v>
      </c>
      <c r="L188" s="2" t="s">
        <v>69</v>
      </c>
      <c r="M188" s="2" t="s">
        <v>80</v>
      </c>
      <c r="N188" s="2" t="s">
        <v>81</v>
      </c>
      <c r="O188" s="2">
        <v>3489</v>
      </c>
      <c r="P188" s="2">
        <v>6</v>
      </c>
      <c r="Q188" s="2">
        <v>0</v>
      </c>
      <c r="R188" s="2">
        <v>279.12</v>
      </c>
      <c r="S188" s="2"/>
    </row>
    <row r="189" spans="1:19" x14ac:dyDescent="0.3">
      <c r="A189" s="2" t="s">
        <v>322</v>
      </c>
      <c r="B189" s="3">
        <v>45337</v>
      </c>
      <c r="C189" s="3">
        <v>45341</v>
      </c>
      <c r="D189" s="2" t="s">
        <v>52</v>
      </c>
      <c r="E189" s="2">
        <v>188</v>
      </c>
      <c r="F189" s="2" t="s">
        <v>120</v>
      </c>
      <c r="G189" s="2" t="s">
        <v>7</v>
      </c>
      <c r="H189" s="2" t="s">
        <v>8</v>
      </c>
      <c r="I189" s="2" t="s">
        <v>9</v>
      </c>
      <c r="J189" s="2" t="s">
        <v>9</v>
      </c>
      <c r="K189" s="2" t="s">
        <v>64</v>
      </c>
      <c r="L189" s="2" t="s">
        <v>65</v>
      </c>
      <c r="M189" s="2" t="s">
        <v>66</v>
      </c>
      <c r="N189" s="2" t="s">
        <v>67</v>
      </c>
      <c r="O189" s="2">
        <v>40405</v>
      </c>
      <c r="P189" s="2">
        <v>2</v>
      </c>
      <c r="Q189" s="2">
        <v>0.2</v>
      </c>
      <c r="R189" s="2">
        <v>538.73</v>
      </c>
    </row>
    <row r="190" spans="1:19" x14ac:dyDescent="0.3">
      <c r="A190" s="2" t="s">
        <v>323</v>
      </c>
      <c r="B190" s="3">
        <v>45315</v>
      </c>
      <c r="C190" s="3">
        <v>45316</v>
      </c>
      <c r="D190" s="2" t="s">
        <v>47</v>
      </c>
      <c r="E190" s="2">
        <v>189</v>
      </c>
      <c r="F190" s="2" t="s">
        <v>205</v>
      </c>
      <c r="G190" s="2" t="s">
        <v>7</v>
      </c>
      <c r="H190" s="2" t="s">
        <v>17</v>
      </c>
      <c r="I190" s="2" t="s">
        <v>18</v>
      </c>
      <c r="J190" s="2" t="s">
        <v>19</v>
      </c>
      <c r="K190" s="2" t="s">
        <v>79</v>
      </c>
      <c r="L190" s="2" t="s">
        <v>73</v>
      </c>
      <c r="M190" s="2" t="s">
        <v>83</v>
      </c>
      <c r="N190" s="2" t="s">
        <v>102</v>
      </c>
      <c r="O190" s="2">
        <v>65291</v>
      </c>
      <c r="P190" s="2">
        <v>3</v>
      </c>
      <c r="Q190" s="2">
        <v>0.1</v>
      </c>
      <c r="R190" s="2">
        <v>3046.91</v>
      </c>
    </row>
    <row r="191" spans="1:19" x14ac:dyDescent="0.3">
      <c r="A191" s="2" t="s">
        <v>324</v>
      </c>
      <c r="B191" s="3">
        <v>45465</v>
      </c>
      <c r="C191" s="3">
        <v>45468</v>
      </c>
      <c r="D191" s="2" t="s">
        <v>49</v>
      </c>
      <c r="E191" s="2">
        <v>190</v>
      </c>
      <c r="F191" s="2" t="s">
        <v>134</v>
      </c>
      <c r="G191" s="2" t="s">
        <v>16</v>
      </c>
      <c r="H191" s="2" t="s">
        <v>21</v>
      </c>
      <c r="I191" s="2" t="s">
        <v>22</v>
      </c>
      <c r="J191" s="2" t="s">
        <v>23</v>
      </c>
      <c r="K191" s="2" t="s">
        <v>72</v>
      </c>
      <c r="L191" s="2" t="s">
        <v>73</v>
      </c>
      <c r="M191" s="2" t="s">
        <v>74</v>
      </c>
      <c r="N191" s="2" t="s">
        <v>75</v>
      </c>
      <c r="O191" s="2">
        <v>41254</v>
      </c>
      <c r="P191" s="2">
        <v>1</v>
      </c>
      <c r="Q191" s="2">
        <v>0.2</v>
      </c>
      <c r="R191" s="2">
        <v>550.04999999999995</v>
      </c>
    </row>
    <row r="192" spans="1:19" x14ac:dyDescent="0.3">
      <c r="A192" s="2" t="s">
        <v>325</v>
      </c>
      <c r="B192" s="3">
        <v>45297</v>
      </c>
      <c r="C192" s="3">
        <v>45301</v>
      </c>
      <c r="D192" s="2" t="s">
        <v>55</v>
      </c>
      <c r="E192" s="2">
        <v>191</v>
      </c>
      <c r="F192" s="2" t="s">
        <v>285</v>
      </c>
      <c r="G192" s="2" t="s">
        <v>7</v>
      </c>
      <c r="H192" s="2" t="s">
        <v>12</v>
      </c>
      <c r="I192" s="2" t="s">
        <v>28</v>
      </c>
      <c r="J192" s="2" t="s">
        <v>29</v>
      </c>
      <c r="K192" s="2" t="s">
        <v>64</v>
      </c>
      <c r="L192" s="2" t="s">
        <v>65</v>
      </c>
      <c r="M192" s="2" t="s">
        <v>66</v>
      </c>
      <c r="N192" s="2" t="s">
        <v>67</v>
      </c>
      <c r="O192" s="2">
        <v>9518</v>
      </c>
      <c r="P192" s="2">
        <v>6</v>
      </c>
      <c r="Q192" s="2">
        <v>0</v>
      </c>
      <c r="R192" s="2">
        <v>761.44</v>
      </c>
    </row>
    <row r="193" spans="1:18" x14ac:dyDescent="0.3">
      <c r="A193" s="2" t="s">
        <v>326</v>
      </c>
      <c r="B193" s="3">
        <v>45363</v>
      </c>
      <c r="C193" s="3">
        <v>45367</v>
      </c>
      <c r="D193" s="2" t="s">
        <v>52</v>
      </c>
      <c r="E193" s="2">
        <v>192</v>
      </c>
      <c r="F193" s="2" t="s">
        <v>285</v>
      </c>
      <c r="G193" s="2" t="s">
        <v>16</v>
      </c>
      <c r="H193" s="2" t="s">
        <v>8</v>
      </c>
      <c r="I193" s="2" t="s">
        <v>9</v>
      </c>
      <c r="J193" s="2" t="s">
        <v>9</v>
      </c>
      <c r="K193" s="2" t="s">
        <v>64</v>
      </c>
      <c r="L193" s="2" t="s">
        <v>65</v>
      </c>
      <c r="M193" s="2" t="s">
        <v>66</v>
      </c>
      <c r="N193" s="2" t="s">
        <v>67</v>
      </c>
      <c r="O193" s="2">
        <v>43659</v>
      </c>
      <c r="P193" s="2">
        <v>5</v>
      </c>
      <c r="Q193" s="2">
        <v>0.1</v>
      </c>
      <c r="R193" s="2">
        <v>2037.42</v>
      </c>
    </row>
    <row r="194" spans="1:18" x14ac:dyDescent="0.3">
      <c r="A194" s="2" t="s">
        <v>327</v>
      </c>
      <c r="B194" s="3">
        <v>45428</v>
      </c>
      <c r="C194" s="3">
        <v>45431</v>
      </c>
      <c r="D194" s="2" t="s">
        <v>52</v>
      </c>
      <c r="E194" s="2">
        <v>193</v>
      </c>
      <c r="F194" s="2" t="s">
        <v>182</v>
      </c>
      <c r="G194" s="2" t="s">
        <v>16</v>
      </c>
      <c r="H194" s="2" t="s">
        <v>12</v>
      </c>
      <c r="I194" s="2" t="s">
        <v>13</v>
      </c>
      <c r="J194" s="2" t="s">
        <v>14</v>
      </c>
      <c r="K194" s="2" t="s">
        <v>64</v>
      </c>
      <c r="L194" s="2" t="s">
        <v>65</v>
      </c>
      <c r="M194" s="2" t="s">
        <v>66</v>
      </c>
      <c r="N194" s="2" t="s">
        <v>67</v>
      </c>
      <c r="O194" s="2">
        <v>35078</v>
      </c>
      <c r="P194" s="2">
        <v>2</v>
      </c>
      <c r="Q194" s="2">
        <v>0.05</v>
      </c>
      <c r="R194" s="2">
        <v>2221.61</v>
      </c>
    </row>
    <row r="195" spans="1:18" x14ac:dyDescent="0.3">
      <c r="A195" s="2" t="s">
        <v>328</v>
      </c>
      <c r="B195" s="3">
        <v>45401</v>
      </c>
      <c r="C195" s="3">
        <v>45403</v>
      </c>
      <c r="D195" s="2" t="s">
        <v>49</v>
      </c>
      <c r="E195" s="2">
        <v>194</v>
      </c>
      <c r="F195" s="2" t="s">
        <v>182</v>
      </c>
      <c r="G195" s="2" t="s">
        <v>7</v>
      </c>
      <c r="H195" s="2" t="s">
        <v>12</v>
      </c>
      <c r="I195" s="2" t="s">
        <v>13</v>
      </c>
      <c r="J195" s="2" t="s">
        <v>14</v>
      </c>
      <c r="K195" s="2" t="s">
        <v>64</v>
      </c>
      <c r="L195" s="2" t="s">
        <v>65</v>
      </c>
      <c r="M195" s="2" t="s">
        <v>66</v>
      </c>
      <c r="N195" s="2" t="s">
        <v>67</v>
      </c>
      <c r="O195" s="2">
        <v>16742</v>
      </c>
      <c r="P195" s="2">
        <v>3</v>
      </c>
      <c r="Q195" s="2">
        <v>0.05</v>
      </c>
      <c r="R195" s="2">
        <v>1060.33</v>
      </c>
    </row>
    <row r="196" spans="1:18" x14ac:dyDescent="0.3">
      <c r="A196" s="2" t="s">
        <v>329</v>
      </c>
      <c r="B196" s="3">
        <v>45341</v>
      </c>
      <c r="C196" s="3">
        <v>45345</v>
      </c>
      <c r="D196" s="2" t="s">
        <v>47</v>
      </c>
      <c r="E196" s="2">
        <v>195</v>
      </c>
      <c r="F196" s="2" t="s">
        <v>110</v>
      </c>
      <c r="G196" s="2" t="s">
        <v>16</v>
      </c>
      <c r="H196" s="2" t="s">
        <v>12</v>
      </c>
      <c r="I196" s="2" t="s">
        <v>13</v>
      </c>
      <c r="J196" s="2" t="s">
        <v>14</v>
      </c>
      <c r="K196" s="2" t="s">
        <v>76</v>
      </c>
      <c r="L196" s="2" t="s">
        <v>69</v>
      </c>
      <c r="M196" s="2" t="s">
        <v>80</v>
      </c>
      <c r="N196" s="2" t="s">
        <v>81</v>
      </c>
      <c r="O196" s="2">
        <v>7119</v>
      </c>
      <c r="P196" s="2">
        <v>8</v>
      </c>
      <c r="Q196" s="2">
        <v>0.05</v>
      </c>
      <c r="R196" s="2">
        <v>450.87</v>
      </c>
    </row>
    <row r="197" spans="1:18" x14ac:dyDescent="0.3">
      <c r="A197" s="2" t="s">
        <v>330</v>
      </c>
      <c r="B197" s="3">
        <v>45399</v>
      </c>
      <c r="C197" s="3">
        <v>45402</v>
      </c>
      <c r="D197" s="2" t="s">
        <v>47</v>
      </c>
      <c r="E197" s="2">
        <v>196</v>
      </c>
      <c r="F197" s="2" t="s">
        <v>165</v>
      </c>
      <c r="G197" s="2" t="s">
        <v>16</v>
      </c>
      <c r="H197" s="2" t="s">
        <v>8</v>
      </c>
      <c r="I197" s="2" t="s">
        <v>9</v>
      </c>
      <c r="J197" s="2" t="s">
        <v>9</v>
      </c>
      <c r="K197" s="2" t="s">
        <v>68</v>
      </c>
      <c r="L197" s="2" t="s">
        <v>69</v>
      </c>
      <c r="M197" s="2" t="s">
        <v>70</v>
      </c>
      <c r="N197" s="2" t="s">
        <v>71</v>
      </c>
      <c r="O197" s="2">
        <v>47103</v>
      </c>
      <c r="P197" s="2">
        <v>1</v>
      </c>
      <c r="Q197" s="2">
        <v>0.05</v>
      </c>
      <c r="R197" s="2">
        <v>2983.19</v>
      </c>
    </row>
    <row r="198" spans="1:18" x14ac:dyDescent="0.3">
      <c r="A198" s="2" t="s">
        <v>331</v>
      </c>
      <c r="B198" s="3">
        <v>45422</v>
      </c>
      <c r="C198" s="3">
        <v>45423</v>
      </c>
      <c r="D198" s="2" t="s">
        <v>52</v>
      </c>
      <c r="E198" s="2">
        <v>197</v>
      </c>
      <c r="F198" s="2" t="s">
        <v>108</v>
      </c>
      <c r="G198" s="2" t="s">
        <v>11</v>
      </c>
      <c r="H198" s="2" t="s">
        <v>21</v>
      </c>
      <c r="I198" s="2" t="s">
        <v>22</v>
      </c>
      <c r="J198" s="2" t="s">
        <v>23</v>
      </c>
      <c r="K198" s="2" t="s">
        <v>79</v>
      </c>
      <c r="L198" s="2" t="s">
        <v>73</v>
      </c>
      <c r="M198" s="2" t="s">
        <v>83</v>
      </c>
      <c r="N198" s="2" t="s">
        <v>102</v>
      </c>
      <c r="O198" s="2">
        <v>4467</v>
      </c>
      <c r="P198" s="2">
        <v>5</v>
      </c>
      <c r="Q198" s="2">
        <v>0.1</v>
      </c>
      <c r="R198" s="2">
        <v>208.46</v>
      </c>
    </row>
    <row r="199" spans="1:18" x14ac:dyDescent="0.3">
      <c r="A199" s="2" t="s">
        <v>332</v>
      </c>
      <c r="B199" s="3">
        <v>45464</v>
      </c>
      <c r="C199" s="3">
        <v>45468</v>
      </c>
      <c r="D199" s="2" t="s">
        <v>47</v>
      </c>
      <c r="E199" s="2">
        <v>198</v>
      </c>
      <c r="F199" s="2" t="s">
        <v>122</v>
      </c>
      <c r="G199" s="2" t="s">
        <v>11</v>
      </c>
      <c r="H199" s="2" t="s">
        <v>8</v>
      </c>
      <c r="I199" s="2" t="s">
        <v>40</v>
      </c>
      <c r="J199" s="2" t="s">
        <v>41</v>
      </c>
      <c r="K199" s="2" t="s">
        <v>72</v>
      </c>
      <c r="L199" s="2" t="s">
        <v>73</v>
      </c>
      <c r="M199" s="2" t="s">
        <v>74</v>
      </c>
      <c r="N199" s="2" t="s">
        <v>75</v>
      </c>
      <c r="O199" s="2">
        <v>28293</v>
      </c>
      <c r="P199" s="2">
        <v>2</v>
      </c>
      <c r="Q199" s="2">
        <v>0.2</v>
      </c>
      <c r="R199" s="2">
        <v>377.24</v>
      </c>
    </row>
    <row r="200" spans="1:18" x14ac:dyDescent="0.3">
      <c r="A200" s="2" t="s">
        <v>333</v>
      </c>
      <c r="B200" s="3">
        <v>45340</v>
      </c>
      <c r="C200" s="3">
        <v>45345</v>
      </c>
      <c r="D200" s="2" t="s">
        <v>55</v>
      </c>
      <c r="E200" s="2">
        <v>199</v>
      </c>
      <c r="F200" s="2" t="s">
        <v>285</v>
      </c>
      <c r="G200" s="2" t="s">
        <v>16</v>
      </c>
      <c r="H200" s="2" t="s">
        <v>12</v>
      </c>
      <c r="I200" s="2" t="s">
        <v>28</v>
      </c>
      <c r="J200" s="2" t="s">
        <v>29</v>
      </c>
      <c r="K200" s="2" t="s">
        <v>68</v>
      </c>
      <c r="L200" s="2" t="s">
        <v>69</v>
      </c>
      <c r="M200" s="2" t="s">
        <v>70</v>
      </c>
      <c r="N200" s="2" t="s">
        <v>71</v>
      </c>
      <c r="O200" s="2">
        <v>42277</v>
      </c>
      <c r="P200" s="2">
        <v>2</v>
      </c>
      <c r="Q200" s="2">
        <v>0.05</v>
      </c>
      <c r="R200" s="2">
        <v>2677.54</v>
      </c>
    </row>
    <row r="201" spans="1:18" x14ac:dyDescent="0.3">
      <c r="A201" s="2" t="s">
        <v>334</v>
      </c>
      <c r="B201" s="3">
        <v>45422</v>
      </c>
      <c r="C201" s="3">
        <v>45426</v>
      </c>
      <c r="D201" s="2" t="s">
        <v>55</v>
      </c>
      <c r="E201" s="2">
        <v>200</v>
      </c>
      <c r="F201" s="2" t="s">
        <v>20</v>
      </c>
      <c r="G201" s="2" t="s">
        <v>7</v>
      </c>
      <c r="H201" s="2" t="s">
        <v>17</v>
      </c>
      <c r="I201" s="2" t="s">
        <v>18</v>
      </c>
      <c r="J201" s="2" t="s">
        <v>19</v>
      </c>
      <c r="K201" s="2" t="s">
        <v>76</v>
      </c>
      <c r="L201" s="2" t="s">
        <v>69</v>
      </c>
      <c r="M201" s="2" t="s">
        <v>80</v>
      </c>
      <c r="N201" s="2" t="s">
        <v>81</v>
      </c>
      <c r="O201" s="2">
        <v>13594</v>
      </c>
      <c r="P201" s="2">
        <v>10</v>
      </c>
      <c r="Q201" s="2">
        <v>0.15</v>
      </c>
      <c r="R201" s="2">
        <v>407.82</v>
      </c>
    </row>
    <row r="202" spans="1:18" x14ac:dyDescent="0.3">
      <c r="A202" s="2"/>
      <c r="B202" s="3"/>
      <c r="C202" s="3"/>
      <c r="D202" s="2"/>
      <c r="E202" s="2"/>
      <c r="F202" s="2"/>
      <c r="G202" s="2"/>
      <c r="H202" s="2"/>
      <c r="I202" s="2"/>
      <c r="J202" s="2"/>
      <c r="K202" s="2"/>
      <c r="L202" s="2"/>
      <c r="M202" s="2"/>
      <c r="N202" s="2"/>
      <c r="O202" s="2"/>
      <c r="P202" s="2"/>
      <c r="Q202" s="2"/>
      <c r="R202" s="2"/>
    </row>
    <row r="203" spans="1:18" x14ac:dyDescent="0.3">
      <c r="A203" s="2"/>
      <c r="B203" s="3"/>
      <c r="C203" s="3"/>
      <c r="D203" s="2"/>
      <c r="E203" s="2"/>
      <c r="F203" s="2"/>
      <c r="G203" s="2"/>
      <c r="H203" s="2"/>
      <c r="I203" s="2"/>
      <c r="J203" s="2"/>
      <c r="K203" s="2"/>
      <c r="L203" s="2"/>
      <c r="M203" s="2"/>
      <c r="N203" s="2"/>
      <c r="O203" s="2"/>
      <c r="P203" s="2"/>
      <c r="Q203" s="2"/>
      <c r="R203" s="2"/>
    </row>
    <row r="204" spans="1:18" x14ac:dyDescent="0.3">
      <c r="A204" s="2"/>
      <c r="B204" s="2"/>
      <c r="C204" s="3"/>
      <c r="D204" s="2"/>
      <c r="E204" s="2"/>
      <c r="F204" s="2"/>
      <c r="G204" s="2"/>
      <c r="H204" s="2"/>
      <c r="I204" s="2"/>
      <c r="J204" s="2"/>
      <c r="K204" s="2"/>
      <c r="L204" s="2"/>
      <c r="M204" s="2"/>
      <c r="N204" s="2"/>
      <c r="O204" s="2"/>
      <c r="P204" s="2"/>
      <c r="Q204" s="2"/>
      <c r="R204" s="2"/>
    </row>
    <row r="205" spans="1:18" x14ac:dyDescent="0.3">
      <c r="A205" s="2"/>
      <c r="B205" s="2"/>
      <c r="C205" s="3"/>
      <c r="D205" s="2"/>
      <c r="E205" s="2"/>
      <c r="F205" s="2"/>
      <c r="G205" s="2"/>
      <c r="H205" s="2"/>
      <c r="I205" s="2"/>
      <c r="J205" s="2"/>
      <c r="K205" s="2"/>
      <c r="L205" s="2"/>
      <c r="M205" s="2"/>
      <c r="N205" s="2"/>
      <c r="O205" s="2"/>
      <c r="P205" s="2"/>
      <c r="Q205" s="2"/>
      <c r="R205" s="2"/>
    </row>
    <row r="250" spans="2:2" x14ac:dyDescent="0.3">
      <c r="B250">
        <f>SUM(Table1[Sales])</f>
        <v>7102835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D6C2-5444-4C7D-85C1-B083F0F8A32E}">
  <dimension ref="A1:X20"/>
  <sheetViews>
    <sheetView showGridLines="0" tabSelected="1" topLeftCell="A49" zoomScale="87" zoomScaleNormal="62" workbookViewId="0">
      <selection activeCell="J61" sqref="J61"/>
    </sheetView>
  </sheetViews>
  <sheetFormatPr defaultRowHeight="14.4" x14ac:dyDescent="0.3"/>
  <cols>
    <col min="2" max="2" width="17.33203125" bestFit="1" customWidth="1"/>
    <col min="3" max="3" width="13.109375" bestFit="1" customWidth="1"/>
    <col min="21" max="21" width="12.5546875" bestFit="1" customWidth="1"/>
    <col min="22" max="22" width="11.6640625" bestFit="1" customWidth="1"/>
  </cols>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ht="33.6" x14ac:dyDescent="0.65">
      <c r="A2" s="6"/>
      <c r="B2" s="6"/>
      <c r="C2" s="6"/>
      <c r="D2" s="6"/>
      <c r="E2" s="6"/>
      <c r="F2" s="6"/>
      <c r="G2" s="6"/>
      <c r="H2" s="6"/>
      <c r="I2" s="7" t="s">
        <v>339</v>
      </c>
      <c r="J2" s="6"/>
      <c r="K2" s="6"/>
      <c r="L2" s="6"/>
      <c r="M2" s="6"/>
      <c r="N2" s="6"/>
      <c r="O2" s="6"/>
      <c r="P2" s="6"/>
      <c r="Q2" s="6"/>
      <c r="R2" s="6"/>
      <c r="S2" s="6"/>
      <c r="T2" s="6"/>
      <c r="U2" s="6"/>
      <c r="V2" s="6"/>
      <c r="W2" s="6"/>
      <c r="X2" s="6"/>
    </row>
    <row r="9" spans="1:24" x14ac:dyDescent="0.3">
      <c r="H9" s="13"/>
    </row>
    <row r="10" spans="1:24" ht="18" customHeight="1" x14ac:dyDescent="0.5">
      <c r="T10" s="10" t="s">
        <v>340</v>
      </c>
      <c r="U10" s="11" t="s">
        <v>343</v>
      </c>
    </row>
    <row r="15" spans="1:24" x14ac:dyDescent="0.3">
      <c r="B15" s="12"/>
      <c r="E15" s="8"/>
    </row>
    <row r="16" spans="1:24" x14ac:dyDescent="0.3">
      <c r="B16" s="12"/>
    </row>
    <row r="20" spans="12:12" x14ac:dyDescent="0.3">
      <c r="L20"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vt:lpstr>
      <vt:lpstr>order</vt:lpstr>
      <vt:lpstr>product</vt:lpstr>
      <vt:lpstr>sales</vt:lpstr>
      <vt:lpstr>ANALSYSIS</vt:lpstr>
      <vt:lpstr>master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Srivastava</dc:creator>
  <cp:lastModifiedBy>Palak Srivastava</cp:lastModifiedBy>
  <dcterms:created xsi:type="dcterms:W3CDTF">2026-07-17T15:11:24Z</dcterms:created>
  <dcterms:modified xsi:type="dcterms:W3CDTF">2026-07-18T15:21:27Z</dcterms:modified>
</cp:coreProperties>
</file>